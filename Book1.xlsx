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vloi\Downloads\"/>
    </mc:Choice>
  </mc:AlternateContent>
  <bookViews>
    <workbookView xWindow="0" yWindow="0" windowWidth="23040" windowHeight="9336" firstSheet="3" activeTab="7"/>
  </bookViews>
  <sheets>
    <sheet name="Test Mint Campaign" sheetId="1" r:id="rId1"/>
    <sheet name="Test Record Donation" sheetId="2" r:id="rId2"/>
    <sheet name="Test Socket" sheetId="3" r:id="rId3"/>
    <sheet name="Đối soát On-chain" sheetId="4" r:id="rId4"/>
    <sheet name="tấn công thử nghiệm" sheetId="5" r:id="rId5"/>
    <sheet name=" Load Test" sheetId="6" r:id="rId6"/>
    <sheet name="10 bộ hồ sơ thụ hưởng giả" sheetId="7" r:id="rId7"/>
    <sheet name="20 bản ghi JSON Webhook" sheetId="8"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6" l="1"/>
  <c r="D5" i="6"/>
  <c r="E4" i="6"/>
  <c r="E5" i="6"/>
  <c r="E5" i="5"/>
  <c r="D5" i="5"/>
  <c r="E4" i="5"/>
  <c r="D4" i="5"/>
  <c r="E5" i="4"/>
  <c r="D5" i="4"/>
  <c r="E4" i="4"/>
  <c r="D4" i="4"/>
  <c r="E5" i="3"/>
  <c r="D5" i="3"/>
  <c r="E4" i="3"/>
  <c r="D4" i="3"/>
  <c r="E5" i="2" l="1"/>
  <c r="D5" i="2"/>
  <c r="E4" i="2"/>
  <c r="D4" i="2"/>
  <c r="F5" i="1" l="1"/>
  <c r="F4" i="1"/>
</calcChain>
</file>

<file path=xl/sharedStrings.xml><?xml version="1.0" encoding="utf-8"?>
<sst xmlns="http://schemas.openxmlformats.org/spreadsheetml/2006/main" count="530" uniqueCount="252">
  <si>
    <t>Test Case ID</t>
  </si>
  <si>
    <t>Mô tả</t>
  </si>
  <si>
    <t>Điều kiện tiên quyết</t>
  </si>
  <si>
    <t>Kết quả mong đợi</t>
  </si>
  <si>
    <t>Kết quả thực tế</t>
  </si>
  <si>
    <t>FUNC-MINT-E01</t>
  </si>
  <si>
    <t>Lỗi mất kết nối với mạng Besu trước khi gửi Transaction</t>
  </si>
  <si>
    <t>Passed</t>
  </si>
  <si>
    <t>FUNC-MINT-E02</t>
  </si>
  <si>
    <t>Lỗi mạng Besu chập chờn (Timeout) trong quá trình chờ xác nhận</t>
  </si>
  <si>
    <t>Hệ thống cấu hình timeout chờ Receipt (VD: 30s). Giao dịch đã được đẩy vào mempool.</t>
  </si>
  <si>
    <t>FUNC-MINT-E03</t>
  </si>
  <si>
    <t>Lỗi hết phí Gas (Out of Gas) khi thực thi Smart Contract</t>
  </si>
  <si>
    <t>FUNC-MINT-E04</t>
  </si>
  <si>
    <t>Lỗi số dư tài khoản không đủ trả phí Gas (Insufficient Funds)</t>
  </si>
  <si>
    <t>Project Name</t>
  </si>
  <si>
    <t>Module Code</t>
  </si>
  <si>
    <t>Hoàn thành</t>
  </si>
  <si>
    <t>Lỗi</t>
  </si>
  <si>
    <t>Chưa kiểm tra</t>
  </si>
  <si>
    <t>Bị chặn</t>
  </si>
  <si>
    <t>Tổng lần kiểm tra</t>
  </si>
  <si>
    <t>Round 1</t>
  </si>
  <si>
    <t>Round 2</t>
  </si>
  <si>
    <t>Quy trình</t>
  </si>
  <si>
    <t>Kết quả</t>
  </si>
  <si>
    <t>Chú thích</t>
  </si>
  <si>
    <t>Vòng 1</t>
  </si>
  <si>
    <t>Vòng 2</t>
  </si>
  <si>
    <t>Trạng thái</t>
  </si>
  <si>
    <t>Ngày kiểm tra</t>
  </si>
  <si>
    <t>Người kiểm tra</t>
  </si>
  <si>
    <t>Nghiên cứu và Xây dựng Hệ thống Quỹ từ thiện minh bạch dựa trên công nghệ Blockchain</t>
  </si>
  <si>
    <t xml:space="preserve"> Case mạng Besu lỗi, Case hết phí Gas (Out of Gas).</t>
  </si>
  <si>
    <t>FUNCTION_SHOW  Case mạng Besu lỗi, Case hết phí Gas (Out of Gas).</t>
  </si>
  <si>
    <t>1. Điền đầy đủ thông tin hợp lệ để tạo/mint chiến dịch.
2. (Tester/Dev) Tạm thời tắt node mạng Besu hoặc ngắt kết nối mạng của server chứa backend.
3. Click "Mint / Tạo chiến dịch".</t>
  </si>
  <si>
    <t>Đăng nhập tài khoản hợp lệ. Đang ở giao diện Tạo chiến dịch</t>
  </si>
  <si>
    <t>Lợi</t>
  </si>
  <si>
    <t xml:space="preserve">1. Bấm "Mint / Tạo chiến dịch".
2. Backend đã gửi transaction lên mạng Besu thành công (có TxHash).
3. (Tester/Dev) Ép node Besu dừng hoạt động ngay lập tức, không cho phép block mới được đào.
</t>
  </si>
  <si>
    <t xml:space="preserve">1. (Tester/Dev) Cấu hình can thiệp vào request: Đặt gasLimit cho giao dịch Mint ở mức cực kỳ thấp (thấp hơn mức estimateGas yêu cầu).
2. Bấm "Mint / Tạo chiến dịch".
</t>
  </si>
  <si>
    <t>Mạng Besu hoạt động bình thường. Tài khoản có đủ số dư nhưng bị giới hạn gasLimit.</t>
  </si>
  <si>
    <t xml:space="preserve">Giao dịch bị Revert (thất bại) trên mạng Blockchain với mã lỗi "Out of Gas".
Backend bắt được sự kiện giao dịch thất bại.
Hệ thống không ghi nhận chiến dịch lên chuỗi.
Hiển thị thông báo lỗi cho người dùng: "Giao dịch thất bại do không đủ phí Gas cấp phát."
</t>
  </si>
  <si>
    <t xml:space="preserve">Backend chờ quá thời gian cấu hình (Timeout) mà không nhận được Transaction Receipt.
Hệ thống đánh dấu giao dịch là "Pending" hoặc "Failed - Timeout" trong DB.
Thông báo cho người dùng: "Giao dịch đang chờ xử lý quá lâu, vui lòng kiểm tra lại trạng thái sau."
</t>
  </si>
  <si>
    <t xml:space="preserve">Hệ thống Backend catch được lỗi Timeout/Connection Refused.
Giao diện UI không bị crash/treo loading vô hạn.
Hiển thị thông báo lỗi (vd: "Không thể kết nối đến mạng Blockchain. Vui lòng thử lại sau!").
Trạng thái chiến dịch (nếu có lưu DB tạm) KHÔNG được chuyển sang "Đã Mint".
</t>
  </si>
  <si>
    <t xml:space="preserve">1. Sử dụng tài khoản ví (Wallet) đang liên kết với hệ thống có số dư (balance) = 0 hoặc không đủ để trả phí Gas (nếu mạng Besu của bạn có cấu hình thu phí).
2. Bấm "Mint / Tạo chiến dịch".
</t>
  </si>
  <si>
    <t xml:space="preserve">
Mạng Besu hoạt động. Dùng ví cạn kiệt số dư.
</t>
  </si>
  <si>
    <t xml:space="preserve">Giao dịch bị từ chối ngay từ lúc gửi (Pre-check failed).
Backend trả về lỗi ngay lập tức.
Hiển thị thông báo: "Tài khoản không đủ số dư để thực hiện giao dịch."
</t>
  </si>
  <si>
    <t>Bị chăn</t>
  </si>
  <si>
    <t>Tổng số trường hợp thử nghiệm</t>
  </si>
  <si>
    <t>Hành động</t>
  </si>
  <si>
    <t>Record Donation</t>
  </si>
  <si>
    <t>FUNCTION_SHOW Ghi nhận đóng góp (Record Donation)</t>
  </si>
  <si>
    <t>FUNC-RD01</t>
  </si>
  <si>
    <t>FUNC-RD02</t>
  </si>
  <si>
    <t>FUNC-RD03</t>
  </si>
  <si>
    <t>FUNC-RD04</t>
  </si>
  <si>
    <t>FUNC-RD05</t>
  </si>
  <si>
    <t>Ghi nhận thất bại do Hash sai định dạng (Format Error)</t>
  </si>
  <si>
    <t>1. Nhập một chuỗi không đúng chuẩn Hash của mạng Besu (VD: không bắt đầu bằng 0x, độ dài khác 66 ký tự, hoặc chứa ký tự ngoài 0-9, a-f).
2. Click nút "Ghi nhận".</t>
  </si>
  <si>
    <t>Ghi nhận thất bại do Giao dịch bị Revert trên chuỗi</t>
  </si>
  <si>
    <t>1. Nhập một mã Hash hợp lệ về mặt định dạng, nhưng giao dịch thực tế đã bị lỗi (Failed/Revert) trên mạng Besu.
2. Click nút "Ghi nhận".</t>
  </si>
  <si>
    <t>Ghi nhận thất bại do Hash bị trùng lặp (Duplicate)</t>
  </si>
  <si>
    <t>Ghi nhận thất bại do Giao dịch không tồn tại trên chuỗi</t>
  </si>
  <si>
    <t>Ghi nhận thành công</t>
  </si>
  <si>
    <t xml:space="preserve">1. Nhập mã Hash hợp lệ, giao dịch đã Success (trạng thái 1) trên mạng Besu và chưa từng được ghi nhận.
2. Click nút "Ghi nhận".
</t>
  </si>
  <si>
    <t xml:space="preserve">1. Nhập một mã Hash đúng định dạng nhưng là mã "ảo", chưa từng được gửi hoặc đào trên mạng Besu.
2. Click nút "Ghi nhận".
</t>
  </si>
  <si>
    <t xml:space="preserve">1. Nhập một mã Hash hợp lệ đã được ghi nhận thành công cho chiến dịch này (hoặc chiến dịch khác) trước đó.
2. Click nút "Ghi nhận".
</t>
  </si>
  <si>
    <t>Đang ở form Ghi nhận đóng góp.</t>
  </si>
  <si>
    <t>Hệ thống Validate ngay tại Frontend, chặn không gửi request lên Server.
Hiển thị lỗi: "Mã giao dịch (Hash) không hợp lệ. Vui lòng kiểm tra lại."</t>
  </si>
  <si>
    <t>Backend kết nối RPC bình thường đến mạng Besu.</t>
  </si>
  <si>
    <t>Backend đọc TransactionReceipt từ mạng Besu, phát hiện status = 0 (hoặc false).
Hệ thống không lưu dữ liệu vào DB.
Thông báo lỗi: "Giao dịch này đã thất bại (Revert) trên Blockchain. Không thể ghi nhận."</t>
  </si>
  <si>
    <t>Mã Hash đã tồn tại trong cơ sở dữ liệu của hệ thống.</t>
  </si>
  <si>
    <t>Hệ thống kiểm tra DB và phát hiện trùng lặp.
Từ chối ghi nhận và hiển thị thông báo: "Mã giao dịch này đã được ghi nhận vào hệ thống trước đó."</t>
  </si>
  <si>
    <t>Mạng Besu hoạt động bình thường.</t>
  </si>
  <si>
    <t>Backend truy vấn bằng Web3 trả về kết quả null (không tìm thấy giao dịch).
Thông báo lỗi: "Không tìm thấy giao dịch này trên Blockchain."</t>
  </si>
  <si>
    <t>Giao dịch hợp lệ, tương tác đúng với Smart Contract của chiến dịch.</t>
  </si>
  <si>
    <t>Backend xác thực thành công qua mạng Besu.
Lưu thông tin đóng góp vào DB (cập nhật số dư quỹ, thêm bản ghi nhà hảo tâm).
Hiển thị thông báo: "Ghi nhận đóng góp thành công!"</t>
  </si>
  <si>
    <t>15/4/2026</t>
  </si>
  <si>
    <t>Test Socket: Đang kết nối thì rớt mạng, sau đó có tự động reconnect và bù thông báo không.</t>
  </si>
  <si>
    <t>FUNCTION_SHOW Kết nối Socket &amp; Đồng bộ thông báo</t>
  </si>
  <si>
    <t>FUNC-SK01</t>
  </si>
  <si>
    <t>FUNC-SK02</t>
  </si>
  <si>
    <t>FUNC-SK03</t>
  </si>
  <si>
    <t>FUNC-SK04</t>
  </si>
  <si>
    <t>FUNC-SK05</t>
  </si>
  <si>
    <t>Hệ thống phản hồi khi đột ngột mất kết nối mạng (Disconnect)</t>
  </si>
  <si>
    <t>1. Đang mở trang Dashboard quản trị.
2. Ngắt kết nối mạng của máy tính (tắt Wi-Fi, rút cáp) hoặc dùng Chrome DevTools set trạng thái sang "Offline".</t>
  </si>
  <si>
    <t>Tự động kết nối lại thành công khi có mạng (Auto-reconnect)</t>
  </si>
  <si>
    <t>1. Khôi phục lại kết nối mạng (bật lại Wi-Fi/chuyển DevTools sang "Online").
2. Không Refresh (F5) lại trang.</t>
  </si>
  <si>
    <t>Nhận "bù" thông báo bị nhỡ trong thời gian đứt cáp/rớt mạng (Message Recovery)</t>
  </si>
  <si>
    <t>Xử lý khi kết nối lại thất bại quá số lần quy định (Max Retries)</t>
  </si>
  <si>
    <t xml:space="preserve">1. Ngắt kết nối mạng trong thời gian dài (vượt quá số lần tự động reconnect tối đa được cấu hình trong code, VD: thử lại 10 lần)..
</t>
  </si>
  <si>
    <t>Gửi dữ liệu thất bại khi mất mạng (Message Acknowledgement)</t>
  </si>
  <si>
    <t xml:space="preserve">1. Ngắt mạng Client.
2. Thực hiện một thao tác gửi dữ liệu qua Socket từ giao diện (nếu hệ thống có chức năng này, VD: duyệt nhanh chiến dịch qua socket).
</t>
  </si>
  <si>
    <t>Socket đang ở trạng thái kết nối thành công (Connected).</t>
  </si>
  <si>
    <t>Client phát hiện mất kết nối.
Giao diện không bị treo/crash.
Bắt đầu kích hoạt luồng tự động thử kết nối lại (Auto-reconnect ngầm).</t>
  </si>
  <si>
    <t>Máy khách đang trong trạng thái mất kết nối mạng (như case FUNC-SK01) và đang thử reconnect.</t>
  </si>
  <si>
    <t>Socket tự động kết nối lại thành công với Server.
Hệ thống ghi nhận trạng thái kết nối khôi phục mà không cần thao tác thủ công từ người dùng.</t>
  </si>
  <si>
    <t>Client gửi kèm ID thông báo cuối cùng nhận được khi reconnect. Server có cơ chế lưu trữ đệm (buffer/queue) các sự kiện.</t>
  </si>
  <si>
    <t>Ngay sau khi Client A tự động kết nối lại thành công, giao diện lập tức nhận được thông báo "bù" (VD: pop-up có người vừa đóng góp) sinh ra trong lúc mất mạng.
Số liệu trên Dashboard cập nhật đúng, không bị sót giao dịch.</t>
  </si>
  <si>
    <t>Hệ thống có giới hạn số lần thử kết nối lại để tránh ngốn tài nguyên trình duyệt.</t>
  </si>
  <si>
    <t>Client ngừng việc tự động gửi request kết nối lại.
Hiển thị thông báo trên UI: "Mất kết nối máy chủ. Vui lòng tải lại trang (F5) để kết nối lại."</t>
  </si>
  <si>
    <t>Socket đang mất kết nối.</t>
  </si>
  <si>
    <t>Hệ thống catch được lỗi không gửi được gói tin.
Lưu gói tin vào hàng đợi (Queue) nội bộ của Client hoặc báo lỗi "Không thể thực hiện lúc này, đang mất mạng".</t>
  </si>
  <si>
    <t>Đối soát On-chain</t>
  </si>
  <si>
    <t>FUNCTION_SHOW Đối soát dữ liệu On-chain &amp; Database</t>
  </si>
  <si>
    <t>FUNC-DS01</t>
  </si>
  <si>
    <t>FUNC-DS02</t>
  </si>
  <si>
    <t>FUNC-DS03</t>
  </si>
  <si>
    <t>FUNC-DS04</t>
  </si>
  <si>
    <t>FUNC-DS05</t>
  </si>
  <si>
    <t>Đối soát khớp hoàn toàn (Khớp lệnh 100%)</t>
  </si>
  <si>
    <t>1. Đi đến module Đối soát trong Admin Dashboard.
2. Chọn một chiến dịch (hoặc toàn hệ thống).
3. Click "Thực hiện đối soát".</t>
  </si>
  <si>
    <t>Báo cáo sai lệch: On-chain lớn hơn DB (Thiếu dữ liệu DB)</t>
  </si>
  <si>
    <t>1. (Tester/Dev) Tắt service lắng nghe sự kiện (Listener) của backend.
2. Thực hiện 1 giao dịch đóng góp thành công trên chuỗi Besu.
3. Bật lại backend và click "Thực hiện đối soát".</t>
  </si>
  <si>
    <t>Báo cáo sai lệch: DB lớn hơn On-chain (Dữ liệu DB bị thao túng/lỗi)</t>
  </si>
  <si>
    <t xml:space="preserve">1. (Tester) Truy cập trực tiếp vào DB, thêm thủ công (insert) một bản ghi đóng góp ảo cho chiến dịch.
2. Click "Thực hiện đối soát".
</t>
  </si>
  <si>
    <t>Xử lý Đồng bộ (Khắc phục lỗi thiếu DB)</t>
  </si>
  <si>
    <t xml:space="preserve">1. Đang ở trạng thái lỗi của case FUNC-DS02 (On-chain &gt; DB).
2. Click vào nút "Đồng bộ lại (Sync)".
</t>
  </si>
  <si>
    <t>Đối soát khi có giao dịch "bắn" tiền trực tiếp (Direct Transfer)</t>
  </si>
  <si>
    <t xml:space="preserve">1. Chuyển tiền (Coin/Token) trực tiếp vào địa chỉ ví của Smart Contract mà KHÔNG gọi hàm donate() của hệ thống.
2. Click "Thực hiện đối soát".
</t>
  </si>
  <si>
    <t>Dữ liệu DB và Smart Contract đang đồng bộ.</t>
  </si>
  <si>
    <t>Giao dịch có trên chuỗi nhưng DB chưa kịp ghi nhận.</t>
  </si>
  <si>
    <t>Bản ghi có trong DB nhưng không hề tồn tại mã Hash trên Smart Contract.</t>
  </si>
  <si>
    <t>Hệ thống hỗ trợ quét lại Past Logs từ block nhất định.</t>
  </si>
  <si>
    <t>Smart Contract có thể nhận tiền trực tiếp nhưng không sinh ra Event đóng góp chuẩn.</t>
  </si>
  <si>
    <t>Hệ thống báo lệch tổng quỹ: Balance thực tế của Contract &gt; Tổng quỹ ghi nhận trên hệ thống.
Hệ thống có mục "Quỹ vãng lai / Quỹ không xác định" để ghi nhận phần chênh lệch này nhằm đảm bảo tính minh bạch tổng tài sản.</t>
  </si>
  <si>
    <t>Backend gọi RPC lên mạng Besu quét lại các block bị sót, tìm thấy sự kiện đóng góp và bổ sung vào DB.
Chạy lại đối soát tự động -&gt; Trạng thái chuyển thành "Khớp hoàn toàn" (Màu xanh).</t>
  </si>
  <si>
    <t>Hệ thống cảnh báo đỏ khẩn cấp: "Phát hiện bất thường dữ liệu".
Hiển thị: Số dư DB &gt; Số dư On-chain.
Đánh dấu chiến dịch là "Suspicious" (Đáng ngờ) và yêu cầu Admin kiểm tra lịch sử thao tác DB.</t>
  </si>
  <si>
    <t>Hệ thống cảnh báo đỏ: "Lệch dữ liệu".
Hiển thị: Số dư On-chain &gt; Số dư DB.
Gợi ý nút/chức năng "Đồng bộ lại (Sync/Crawl Logs)" để quét các block bị sót.</t>
  </si>
  <si>
    <t>Hệ thống hiển thị: "Dữ liệu khớp hoàn toàn".
Số dư On-chain = Số dư DB.
Chênh lệch (Delta) = 0.</t>
  </si>
  <si>
    <t>Tấn công thử nghiệm: SQL Injection vào Form tìm kiếm, Token Manipulation.</t>
  </si>
  <si>
    <t>FUNCTION_SHOW Kiểm thử Bảo mật</t>
  </si>
  <si>
    <t>SEC-SQLI-01</t>
  </si>
  <si>
    <t>SEC-SQLI-02</t>
  </si>
  <si>
    <t>SEC-TOK-01</t>
  </si>
  <si>
    <t>SEC-TOK-02</t>
  </si>
  <si>
    <t>SEC-TOK-03</t>
  </si>
  <si>
    <t>Kiểm tra SQL Injection cơ bản (Bypass Logic) tại ô Tìm kiếm</t>
  </si>
  <si>
    <t>1. Nhập chuỗi kiểm thử ' OR 1=1 -- hoặc ' OR '1'='1 vào ô "Tìm tên chiến dịch...".
2. Nhấn Enter.</t>
  </si>
  <si>
    <t>Kiểm tra SQL Injection dạng lỗi (Error-based)</t>
  </si>
  <si>
    <t>1. Nhập các ký tự phá vỡ cú pháp SQL như dấu nháy đơn ', nháy kép ", dấu chấm phẩy ; vào ô tìm kiếm.
2. Nhấn Enter.</t>
  </si>
  <si>
    <t>Thao túng Payload của Token (Nâng quyền trái phép)</t>
  </si>
  <si>
    <t xml:space="preserve">1. Đăng nhập bằng tài khoản "User" bình thường.
2. Dùng công cụ (như Burp Suite, Postman, hoặc F12) lấy chuỗi JWT token.
3. Decode phần Payload, đổi role: "user" thành role: "admin".
4. Lắp lại Token (không có chữ ký hợp lệ) và gửi request đến API của Admin.
</t>
  </si>
  <si>
    <t>Tấn công hạ cấp thuật toán mã hóa (Algorithm 'None' Attack)</t>
  </si>
  <si>
    <t xml:space="preserve">1. Lấy Token hợp lệ của User.
2. Đổi phần Header của JWT: {"alg":"HS256"} thành {"alg":"none"}.
3. Cắt bỏ hoàn toàn phần Chữ ký (Signature) ở cuối chuỗi Token.
4. Gửi request lấy dữ liệu nhạy cảm.
</t>
  </si>
  <si>
    <t>Sử dụng Token đã hết hạn (Expired Token)</t>
  </si>
  <si>
    <t xml:space="preserve">1. Đăng nhập lấy Token.
2. Đợi Token hết hạn (hoặc lấy một Token cũ đã lưu từ trước).
3. Gửi request API kèm Token này.
</t>
  </si>
  <si>
    <t>Form tìm kiếm hoạt động bình thường.</t>
  </si>
  <si>
    <t>Hệ thống bắt được (sanitize/escape) ký tự đặc biệt.
Chỉ tìm kiếm chuỗi văn bản nguyên bản, KHÔNG trả về toàn bộ dữ liệu chiến dịch trong DB.
Không làm crash hệ thống.</t>
  </si>
  <si>
    <t>Đã đăng nhập tài khoản User. Hệ thống dùng JWT (JSON Web Token) hoặc tương đương.</t>
  </si>
  <si>
    <t>Đã đăng nhập.</t>
  </si>
  <si>
    <t>Đã có một Token hết hạn (Expired).</t>
  </si>
  <si>
    <t>Backend kiểm tra trường exp trong Token và từ chối request.
Trả về lỗi HTTP 401 Unauthorized kèm thông báo: "Phiên đăng nhập đã hết hạn".
Frontend tự động đẩy người dùng về trang Đăng nhập.</t>
  </si>
  <si>
    <t>Backend từ chối request.
Thư viện xác thực JWT của Backend đã được cấu hình chặt chẽ để từ chối các token sử dụng thuật toán none (Không bảo mật).</t>
  </si>
  <si>
    <t>Server Backend từ chối request (HTTP Status 401 hoặc 403).
Hệ thống nhận diện được "Chữ ký không hợp lệ" (Invalid Signature) do nội dung Payload đã bị sửa đổi.</t>
  </si>
  <si>
    <t>Hệ thống xử lý lỗi một cách an toàn (Graceful degradation).
Trả về kết quả "Không tìm thấy" hoặc cảnh báo ký tự không hợp lệ.
Tuyệt đối KHÔNG hiển thị thông báo lỗi (stack trace) của cơ sở dữ liệu (VD: MySQL syntax error) ra ngoài giao diện.</t>
  </si>
  <si>
    <t>Load Test: Ghi nhận đóng góp qua Webhook</t>
  </si>
  <si>
    <t>FUNCTION_SHOW Load Test: Ghi nhận đóng góp qua Webhook</t>
  </si>
  <si>
    <t>LOAD-01</t>
  </si>
  <si>
    <t>LOAD-02</t>
  </si>
  <si>
    <t>LOAD-03</t>
  </si>
  <si>
    <t>Kiểm tra khả năng chịu tải 50 Users/phút</t>
  </si>
  <si>
    <t>1. Cấu hình công cụ (JMeter/k6) giả lập 50 Virtual Users (VUs).
2. Gửi đồng loạt 50 request POST đến Endpoint Webhook trong vòng 60s.</t>
  </si>
  <si>
    <t>Kiểm tra tính toàn vẹn dữ liệu khi ghi nhận đồng thời</t>
  </si>
  <si>
    <t>1. Sau khi chạy LOAD-01, kiểm tra cơ sở dữ liệu (DB).</t>
  </si>
  <si>
    <t>Kiểm tra độ trễ đồng bộ (Socket Latency) khi tải cao</t>
  </si>
  <si>
    <t xml:space="preserve">1. Một trình duyệt Admin đang mở Dashboard.
2. Thực hiện 50 request Webhook cùng lúc.
</t>
  </si>
  <si>
    <t>Endpoint Webhook đã sẵn sàng. Server đang chạy bình thường.</t>
  </si>
  <si>
    <t>100% request thành công (Status 200/201).
Response Time (p95) &lt; 2000ms.
Không có lỗi "Connection Timeout".D19</t>
  </si>
  <si>
    <t>Thực hiện thành công LOAD-01.</t>
  </si>
  <si>
    <t>Số lượng bản ghi trong DB tăng đúng 50.
Tổng quỹ tăng chính xác bằng tổng 50 lần đóng góp.
Không có giao dịch bị ghi đè.D19</t>
  </si>
  <si>
    <t>Socket đang kết nối.</t>
  </si>
  <si>
    <t>Dashboard Admin nhận được 50 thông báo nhảy số (real-time) mà không bị treo trình duyệt.</t>
  </si>
  <si>
    <t>id (UUID)</t>
  </si>
  <si>
    <t>name</t>
  </si>
  <si>
    <t>phone</t>
  </si>
  <si>
    <t>address</t>
  </si>
  <si>
    <t>documents (JSONB)</t>
  </si>
  <si>
    <t>is_verified</t>
  </si>
  <si>
    <t>b1f2...0001</t>
  </si>
  <si>
    <t>Trần Văn Bình</t>
  </si>
  <si>
    <t>Minh Hóa, Quảng Bình</t>
  </si>
  <si>
    <t>{"cccd": "044090001234", "hoan_canh": "Nhà sập do lũ quét"}</t>
  </si>
  <si>
    <t>b1f2...0002</t>
  </si>
  <si>
    <t>Lê Thị Hoa</t>
  </si>
  <si>
    <t>Hải Lăng, Quảng Trị</t>
  </si>
  <si>
    <t>{"cccd": "042185004567", "hoan_canh": "Mẹ đơn thân, trôi nhà"}</t>
  </si>
  <si>
    <t>b1f2...0003</t>
  </si>
  <si>
    <t>Nguyễn Hữu Tài</t>
  </si>
  <si>
    <t>Phong Điền, Thừa Thiên Huế</t>
  </si>
  <si>
    <t>{"cccd": "046078009876", "hoan_canh": "Trôi bè cá lồng"}</t>
  </si>
  <si>
    <t>b1f2...0004</t>
  </si>
  <si>
    <t>Trường Tiểu học Bản Mù</t>
  </si>
  <si>
    <t>Trạm Tấu, Yên Bái</t>
  </si>
  <si>
    <t>{"loai_hinh": "To chuc", "ma_so_thue": "12345678"}</t>
  </si>
  <si>
    <t>b1f2...0005</t>
  </si>
  <si>
    <t>Phạm Văn Minh</t>
  </si>
  <si>
    <t>Lệ Thủy, Quảng Bình</t>
  </si>
  <si>
    <t>{"cccd": "044065003344", "hoan_canh": "Thương binh, hỏng xe lăn"}</t>
  </si>
  <si>
    <t>b1f2...0006</t>
  </si>
  <si>
    <t>Điểm trường Nậm Pồ</t>
  </si>
  <si>
    <t>Nậm Pồ, Điện Biên</t>
  </si>
  <si>
    <t>{"loai_hinh": "To chuc", "chu_ky_hieu_truong": "url_anh"}</t>
  </si>
  <si>
    <t>b1f2...0007</t>
  </si>
  <si>
    <t>Hoàng Thị Mơ</t>
  </si>
  <si>
    <t>Cẩm Xuyên, Hà Tĩnh</t>
  </si>
  <si>
    <t>{"cccd": "038190002211", "hoan_canh": "Người già neo đơn"}</t>
  </si>
  <si>
    <t>b1f2...0008</t>
  </si>
  <si>
    <t>Giàng A Pháo</t>
  </si>
  <si>
    <t>Lũng Cú, Hà Giang</t>
  </si>
  <si>
    <t>{"cccd": "010099005566", "hoan_canh": "Học sinh nghèo vùng cao"}</t>
  </si>
  <si>
    <t>b1f2...0009</t>
  </si>
  <si>
    <t>Đinh Văn Tiến</t>
  </si>
  <si>
    <t>Tuyên Hóa, Quảng Bình</t>
  </si>
  <si>
    <t>{"cccd": "044082007788", "hoan_canh": "Trôi lợn giống"}</t>
  </si>
  <si>
    <t>b1f2...0010</t>
  </si>
  <si>
    <t>Thư viện Mường Tè</t>
  </si>
  <si>
    <t>Mường Tè, Lai Châu</t>
  </si>
  <si>
    <t>{"loai_hinh": "To chuc", "van_ban_de_xuat": "url_pdf"}</t>
  </si>
  <si>
    <t>0987654321</t>
  </si>
  <si>
    <t>0912345678</t>
  </si>
  <si>
    <t>0909888777</t>
  </si>
  <si>
    <t>0216388899</t>
  </si>
  <si>
    <t>0977665544</t>
  </si>
  <si>
    <t>0215377788</t>
  </si>
  <si>
    <t>0933445566</t>
  </si>
  <si>
    <t>0888999000</t>
  </si>
  <si>
    <t>0966554433</t>
  </si>
  <si>
    <t>0213344455</t>
  </si>
  <si>
    <t>[</t>
  </si>
  <si>
    <t xml:space="preserve">  { "webhookId": "evt_901", "event": "DonationSuccess", "timestamp": 1713190000, "data": { "txHash": "0x1a2b3c4d5e6f7g8h9i0j1k2l3m4n5o6p7q8r9s0t", "campaignId": "C-101", "donorWallet": "0xabc123...", "amount": 500000, "message": "Ung ho dong bao" } },</t>
  </si>
  <si>
    <t xml:space="preserve">  { "webhookId": "evt_902", "event": "DonationSuccess", "timestamp": 1713190050, "data": { "txHash": "0x2b3c4d5e6f7g8h9i0j1k2l3m4n5o6p7q8r9s0t1a", "campaignId": "C-101", "donorWallet": "0xdef456...", "amount": 1000000, "message": "Cố lên miền Trung" } },</t>
  </si>
  <si>
    <t xml:space="preserve">  { "webhookId": "evt_903", "event": "DonationSuccess", "timestamp": 1713190105, "data": { "txHash": "0x3c4d5e6f7g8h9i0j1k2l3m4n5o6p7q8r9s0t1a2b", "campaignId": "C-102", "donorWallet": "0xghi789...", "amount": 200000, "message": "Góp gạch xây trường" } },</t>
  </si>
  <si>
    <t xml:space="preserve">  { "webhookId": "evt_904", "event": "DonationSuccess", "timestamp": 1713190120, "data": { "txHash": "0x4d5e6f7g8h9i0j1k2l3m4n5o6p7q8r9s0t1a2b3c", "campaignId": "C-101", "donorWallet": "0xjkl012...", "amount": 5000000, "message": "Giấu tên" } },</t>
  </si>
  <si>
    <t xml:space="preserve">  { "webhookId": "evt_905", "event": "DonationSuccess", "timestamp": 1713190200, "data": { "txHash": "0x5e6f7g8h9i0j1k2l3m4n5o6p7q8r9s0t1a2b3c4d", "campaignId": "C-102", "donorWallet": "0xmno345...", "amount": 300000, "message": "Cho các em nhỏ" } },</t>
  </si>
  <si>
    <t xml:space="preserve">  { "webhookId": "evt_906", "event": "DonationSuccess", "timestamp": 1713190245, "data": { "txHash": "0x6f7g8h9i0j1k2l3m4n5o6p7q8r9s0t1a2b3c4d5e", "campaignId": "C-101", "donorWallet": "0xpqr678...", "amount": 150000, "message": "Chút lòng thành" } },</t>
  </si>
  <si>
    <t xml:space="preserve">  { "webhookId": "evt_907", "event": "DonationSuccess", "timestamp": 1713190300, "data": { "txHash": "0x7g8h9i0j1k2l3m4n5o6p7q8r9s0t1a2b3c4d5e6f", "campaignId": "C-101", "donorWallet": "0xstu901...", "amount": 2000000, "message": "" } },</t>
  </si>
  <si>
    <t xml:space="preserve">  { "webhookId": "evt_908", "event": "DonationSuccess", "timestamp": 1713190330, "data": { "txHash": "0x8h9i0j1k2l3m4n5o6p7q8r9s0t1a2b3c4d5e6f7g", "campaignId": "C-102", "donorWallet": "0xvwx234...", "amount": 1000000, "message": "Xây trường Lũng Cú" } },</t>
  </si>
  <si>
    <t xml:space="preserve">  { "webhookId": "evt_909", "event": "DonationSuccess", "timestamp": 1713190410, "data": { "txHash": "0x9i0j1k2l3m4n5o6p7q8r9s0t1a2b3c4d5e6f7g8h", "campaignId": "C-101", "donorWallet": "0xyza567...", "amount": 50000, "message": "Mong bà con bình an" } },</t>
  </si>
  <si>
    <t xml:space="preserve">  { "webhookId": "evt_910", "event": "DonationSuccess", "timestamp": 1713190450, "data": { "txHash": "0x0j1k2l3m4n5o6p7q8r9s0t1a2b3c4d5e6f7g8h9i", "campaignId": "C-102", "donorWallet": "0x123bcd...", "amount": 500000, "message": "" } },</t>
  </si>
  <si>
    <t xml:space="preserve">  { "webhookId": "evt_911", "event": "DonationSuccess", "timestamp": 1713190505, "data": { "txHash": "0x1k2l3m4n5o6p7q8r9s0t1a2b3c4d5e6f7g8h9i0j", "campaignId": "C-101", "donorWallet": "0x456efg...", "amount": 3000000, "message": "Công ty ABC ủng hộ" } },</t>
  </si>
  <si>
    <t xml:space="preserve">  { "webhookId": "evt_912", "event": "DonationSuccess", "timestamp": 1713190540, "data": { "txHash": "0x2l3m4n5o6p7q8r9s0t1a2b3c4d5e6f7g8h9i0j1k", "campaignId": "C-102", "donorWallet": "0x789hij...", "amount": 250000, "message": "Mua sách vở cho các bé" } },</t>
  </si>
  <si>
    <t xml:space="preserve">  { "webhookId": "evt_913", "event": "DonationSuccess", "timestamp": 1713190600, "data": { "txHash": "0x3m4n5o6p7q8r9s0t1a2b3c4d5e6f7g8h9i0j1k2l", "campaignId": "C-101", "donorWallet": "0x012klm...", "amount": 100000, "message": "Ủng hộ 100k" } },</t>
  </si>
  <si>
    <t xml:space="preserve">  { "webhookId": "evt_914", "event": "DonationSuccess", "timestamp": 1713190650, "data": { "txHash": "0x4n5o6p7q8r9s0t1a2b3c4d5e6f7g8h9i0j1k2l3m", "campaignId": "C-101", "donorWallet": "0x345nop...", "amount": 700000, "message": "Gia đình Tuấn Anh ủng hộ" } },</t>
  </si>
  <si>
    <t xml:space="preserve">  { "webhookId": "evt_915", "event": "DonationSuccess", "timestamp": 1713190710, "data": { "txHash": "0x5o6p7q8r9s0t1a2b3c4d5e6f7g8h9i0j1k2l3m4n", "campaignId": "C-102", "donorWallet": "0x678qrs...", "amount": 10000000, "message": "Quỹ từ thiện XYZ" } },</t>
  </si>
  <si>
    <t xml:space="preserve">  { "webhookId": "evt_916", "event": "DonationSuccess", "timestamp": 1713190780, "data": { "txHash": "0x6p7q8r9s0t1a2b3c4d5e6f7g8h9i0j1k2l3m4n5o", "campaignId": "C-101", "donorWallet": "0x901tuv...", "amount": 200000, "message": "" } },</t>
  </si>
  <si>
    <t xml:space="preserve">  { "webhookId": "evt_917", "event": "DonationSuccess", "timestamp": 1713190820, "data": { "txHash": "0x7q8r9s0t1a2b3c4d5e6f7g8h9i0j1k2l3m4n5o6p", "campaignId": "C-102", "donorWallet": "0x234wxy...", "amount": 50000, "message": "Ít nhưng lòng thành" } },</t>
  </si>
  <si>
    <t xml:space="preserve">  { "webhookId": "evt_918", "event": "DonationSuccess", "timestamp": 1713190890, "data": { "txHash": "0x8r9s0t1a2b3c4d5e6f7g8h9i0j1k2l3m4n5o6p7q", "campaignId": "C-101", "donorWallet": "0x567zab...", "amount": 1500000, "message": "Chuyển khoản lũ lụt" } },</t>
  </si>
  <si>
    <t xml:space="preserve">  { "webhookId": "evt_919", "event": "DonationSuccess", "timestamp": 1713190950, "data": { "txHash": "0x9s0t1a2b3c4d5e6f7g8h9i0j1k2l3m4n5o6p7q8r", "campaignId": "C-101", "donorWallet": "0x890cde...", "amount": 400000, "message": "" } },</t>
  </si>
  <si>
    <t xml:space="preserve">  { "webhookId": "evt_920", "event": "DonationSuccess", "timestamp": 1713191000, "data": { "txHash": "0x0t1a2b3c4d5e6f7g8h9i0j1k2l3m4n5o6p7q8r9s", "campaignId": "C-102", "donorWallet": "0x123fgh...", "amount": 2000000, "message": "Chúc dự án thành công" }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</si>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</sst>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
  </numFmts>
  <fonts count="26">
    <font>
      <sz val="11"/>
      <color theme="1"/>
      <name val="Calibri"/>
      <family val="2"/>
      <scheme val="minor"/>
    </font>
    <font>
      <b/>
      <sz val="18"/>
      <color rgb="FFFFFFFF"/>
      <name val="Times New Roman"/>
      <family val="1"/>
    </font>
    <font>
      <b/>
      <sz val="15"/>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b/>
      <sz val="13"/>
      <color theme="0"/>
      <name val="Times New Roman"/>
      <family val="1"/>
    </font>
    <font>
      <b/>
      <sz val="13"/>
      <color theme="0"/>
      <name val="Calibri"/>
      <family val="2"/>
      <scheme val="minor"/>
    </font>
    <font>
      <sz val="13"/>
      <color theme="0"/>
      <name val="Calibri"/>
      <family val="2"/>
      <scheme val="minor"/>
    </font>
    <font>
      <b/>
      <sz val="13"/>
      <color theme="1"/>
      <name val="Times New Roman"/>
      <family val="1"/>
    </font>
    <font>
      <sz val="13"/>
      <color rgb="FF000000"/>
      <name val="Times New Roman"/>
      <family val="1"/>
    </font>
    <font>
      <sz val="13"/>
      <color theme="1"/>
      <name val="Times New Roman"/>
      <family val="1"/>
    </font>
    <font>
      <sz val="13"/>
      <color rgb="FF000000"/>
      <name val="Times New Roman"/>
      <family val="1"/>
      <charset val="1"/>
    </font>
    <font>
      <sz val="13"/>
      <color theme="1"/>
      <name val="Calibri"/>
      <family val="2"/>
      <scheme val="minor"/>
    </font>
    <font>
      <b/>
      <sz val="13"/>
      <color rgb="FFFFFFFF"/>
      <name val="Times New Roman"/>
      <family val="1"/>
    </font>
    <font>
      <b/>
      <sz val="13"/>
      <name val="Times New Roman"/>
      <family val="1"/>
    </font>
    <font>
      <sz val="13"/>
      <name val="Times New Roman"/>
      <family val="1"/>
    </font>
    <font>
      <b/>
      <sz val="13"/>
      <color indexed="9"/>
      <name val="Times New Roman"/>
      <family val="1"/>
    </font>
    <font>
      <sz val="10"/>
      <name val="Arial2"/>
    </font>
    <font>
      <sz val="13"/>
      <color rgb="FF00000A"/>
      <name val="Times New Roman"/>
      <family val="1"/>
    </font>
    <font>
      <b/>
      <sz val="11"/>
      <color rgb="FF1F1F1F"/>
      <name val="Times New Roman"/>
      <family val="1"/>
    </font>
    <font>
      <sz val="11"/>
      <color rgb="FF1F1F1F"/>
      <name val="Times New Roman"/>
      <family val="1"/>
    </font>
    <font>
      <sz val="10"/>
      <color rgb="FF444746"/>
      <name val="Times New Roman"/>
      <family val="1"/>
    </font>
  </fonts>
  <fills count="8">
    <fill>
      <patternFill patternType="none"/>
    </fill>
    <fill>
      <patternFill patternType="gray125"/>
    </fill>
    <fill>
      <patternFill patternType="solid">
        <fgColor rgb="FF008080"/>
        <bgColor rgb="FF008080"/>
      </patternFill>
    </fill>
    <fill>
      <patternFill patternType="solid">
        <fgColor theme="8" tint="-0.499984740745262"/>
        <bgColor indexed="38"/>
      </patternFill>
    </fill>
    <fill>
      <patternFill patternType="solid">
        <fgColor theme="8" tint="-0.499984740745262"/>
        <bgColor indexed="64"/>
      </patternFill>
    </fill>
    <fill>
      <patternFill patternType="solid">
        <fgColor indexed="9"/>
        <bgColor indexed="26"/>
      </patternFill>
    </fill>
    <fill>
      <patternFill patternType="solid">
        <fgColor indexed="27"/>
        <bgColor indexed="41"/>
      </patternFill>
    </fill>
    <fill>
      <patternFill patternType="solid">
        <fgColor indexed="21"/>
        <bgColor indexed="38"/>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1" fillId="0" borderId="0" applyBorder="0" applyProtection="0">
      <alignment vertical="center"/>
    </xf>
  </cellStyleXfs>
  <cellXfs count="63">
    <xf numFmtId="0" fontId="0" fillId="0" borderId="0" xfId="0"/>
    <xf numFmtId="0" fontId="1" fillId="2" borderId="1" xfId="0" applyFont="1" applyFill="1" applyBorder="1"/>
    <xf numFmtId="0" fontId="5" fillId="0" borderId="1" xfId="0" applyFont="1" applyBorder="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0" borderId="1" xfId="0" applyFont="1" applyBorder="1"/>
    <xf numFmtId="0" fontId="8" fillId="0" borderId="1" xfId="0" applyFont="1" applyBorder="1"/>
    <xf numFmtId="0" fontId="9" fillId="3" borderId="1" xfId="0" applyFont="1" applyFill="1" applyBorder="1" applyAlignment="1">
      <alignment horizontal="center" vertical="center"/>
    </xf>
    <xf numFmtId="164" fontId="9" fillId="3" borderId="1" xfId="0" applyNumberFormat="1" applyFont="1" applyFill="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horizontal="center" vertical="center"/>
    </xf>
    <xf numFmtId="0" fontId="14" fillId="5" borderId="1" xfId="0" applyFont="1" applyFill="1" applyBorder="1" applyAlignment="1">
      <alignment horizontal="left" vertical="center" wrapText="1"/>
    </xf>
    <xf numFmtId="0" fontId="16" fillId="0" borderId="1" xfId="0" applyFont="1" applyBorder="1" applyAlignment="1">
      <alignment vertical="center"/>
    </xf>
    <xf numFmtId="0" fontId="14" fillId="0" borderId="1" xfId="0" applyFont="1" applyBorder="1" applyAlignment="1">
      <alignment horizontal="left" vertical="center" wrapText="1"/>
    </xf>
    <xf numFmtId="14" fontId="15" fillId="0" borderId="1" xfId="0" applyNumberFormat="1" applyFont="1" applyBorder="1" applyAlignment="1">
      <alignment horizontal="center" vertical="center"/>
    </xf>
    <xf numFmtId="14" fontId="13" fillId="0" borderId="4" xfId="0" applyNumberFormat="1" applyFont="1" applyBorder="1" applyAlignment="1">
      <alignment horizontal="left" vertical="center"/>
    </xf>
    <xf numFmtId="0" fontId="2"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2" fillId="6" borderId="2" xfId="0" applyFont="1" applyFill="1" applyBorder="1" applyAlignment="1">
      <alignment horizontal="left" vertical="center"/>
    </xf>
    <xf numFmtId="0" fontId="12" fillId="6" borderId="3" xfId="0" applyFont="1" applyFill="1" applyBorder="1" applyAlignment="1">
      <alignment horizontal="left" vertical="center"/>
    </xf>
    <xf numFmtId="0" fontId="12" fillId="6" borderId="4" xfId="0" applyFont="1" applyFill="1" applyBorder="1" applyAlignment="1">
      <alignment horizontal="left" vertical="center"/>
    </xf>
    <xf numFmtId="0" fontId="17" fillId="2" borderId="1" xfId="0" applyFont="1" applyFill="1" applyBorder="1" applyAlignment="1">
      <alignment vertical="center" wrapText="1"/>
    </xf>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20" fillId="7" borderId="1" xfId="0" applyFont="1" applyFill="1" applyBorder="1" applyAlignment="1">
      <alignment horizontal="center" vertical="center" wrapText="1"/>
    </xf>
    <xf numFmtId="0" fontId="18" fillId="0" borderId="1" xfId="0" applyFont="1" applyBorder="1" applyAlignment="1">
      <alignment vertical="center" wrapText="1"/>
    </xf>
    <xf numFmtId="0" fontId="19" fillId="0" borderId="1" xfId="1" applyFont="1" applyBorder="1" applyAlignment="1" applyProtection="1">
      <alignment horizontal="center" vertical="center" wrapText="1"/>
    </xf>
    <xf numFmtId="0" fontId="19" fillId="0" borderId="1" xfId="0" applyFont="1" applyBorder="1" applyAlignment="1">
      <alignment horizontal="right" vertical="center" wrapText="1"/>
    </xf>
    <xf numFmtId="0" fontId="20" fillId="7" borderId="1" xfId="0" applyFont="1" applyFill="1" applyBorder="1" applyAlignment="1">
      <alignment horizontal="center" vertical="center" wrapText="1"/>
    </xf>
    <xf numFmtId="0" fontId="20" fillId="7" borderId="1" xfId="0" applyFont="1" applyFill="1" applyBorder="1" applyAlignment="1">
      <alignment horizontal="center" vertical="top" wrapText="1"/>
    </xf>
    <xf numFmtId="164" fontId="20" fillId="7" borderId="1" xfId="0" applyNumberFormat="1" applyFont="1" applyFill="1" applyBorder="1" applyAlignment="1">
      <alignment horizontal="center" vertical="center" wrapText="1"/>
    </xf>
    <xf numFmtId="0" fontId="19" fillId="5" borderId="1" xfId="0" applyFont="1" applyFill="1" applyBorder="1" applyAlignment="1">
      <alignment horizontal="left" vertical="top" wrapText="1"/>
    </xf>
    <xf numFmtId="0" fontId="19" fillId="0" borderId="1" xfId="0" applyFont="1" applyBorder="1" applyAlignment="1">
      <alignment vertical="top"/>
    </xf>
    <xf numFmtId="0" fontId="19" fillId="0" borderId="1" xfId="0" applyFont="1" applyBorder="1" applyAlignment="1">
      <alignment horizontal="center" vertical="top"/>
    </xf>
    <xf numFmtId="0" fontId="22" fillId="0" borderId="1" xfId="0" applyFont="1" applyBorder="1" applyAlignment="1">
      <alignment horizontal="center" vertical="top"/>
    </xf>
    <xf numFmtId="0" fontId="18" fillId="6" borderId="1" xfId="0" applyFont="1" applyFill="1" applyBorder="1" applyAlignment="1">
      <alignment horizontal="left" vertical="center"/>
    </xf>
    <xf numFmtId="0" fontId="19" fillId="0" borderId="1" xfId="0" applyFont="1" applyBorder="1" applyAlignment="1">
      <alignment horizontal="left" vertical="top" wrapText="1"/>
    </xf>
    <xf numFmtId="14" fontId="14" fillId="0" borderId="1" xfId="0" applyNumberFormat="1" applyFont="1" applyBorder="1" applyAlignment="1">
      <alignment vertical="top"/>
    </xf>
    <xf numFmtId="0" fontId="20" fillId="7" borderId="5" xfId="0" applyFont="1" applyFill="1" applyBorder="1" applyAlignment="1">
      <alignment horizontal="center" vertical="center" wrapText="1"/>
    </xf>
    <xf numFmtId="0" fontId="20" fillId="7" borderId="6"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20" fillId="7" borderId="4" xfId="0" applyFont="1" applyFill="1" applyBorder="1" applyAlignment="1">
      <alignment horizontal="center" vertical="center" wrapText="1"/>
    </xf>
    <xf numFmtId="0" fontId="18" fillId="6" borderId="2" xfId="0" applyFont="1" applyFill="1" applyBorder="1" applyAlignment="1">
      <alignment horizontal="left" vertical="center"/>
    </xf>
    <xf numFmtId="0" fontId="18" fillId="6" borderId="3" xfId="0" applyFont="1" applyFill="1" applyBorder="1" applyAlignment="1">
      <alignment horizontal="left" vertical="center"/>
    </xf>
    <xf numFmtId="0" fontId="18" fillId="6" borderId="4" xfId="0" applyFont="1" applyFill="1" applyBorder="1" applyAlignment="1">
      <alignment horizontal="left" vertical="center"/>
    </xf>
    <xf numFmtId="0" fontId="23" fillId="0" borderId="8" xfId="0" applyFont="1" applyBorder="1" applyAlignment="1">
      <alignment horizontal="left" vertical="center" wrapText="1" indent="1" readingOrder="1"/>
    </xf>
    <xf numFmtId="0" fontId="23" fillId="0" borderId="8" xfId="0" applyFont="1" applyBorder="1" applyAlignment="1">
      <alignment vertical="center" wrapText="1" readingOrder="1"/>
    </xf>
    <xf numFmtId="0" fontId="24" fillId="0" borderId="8" xfId="0" applyFont="1" applyBorder="1" applyAlignment="1">
      <alignment horizontal="left" vertical="center" wrapText="1" indent="1" readingOrder="1"/>
    </xf>
    <xf numFmtId="0" fontId="25" fillId="0" borderId="8" xfId="0" applyFont="1" applyBorder="1" applyAlignment="1">
      <alignment horizontal="left" vertical="center" wrapText="1" indent="1" readingOrder="1"/>
    </xf>
    <xf numFmtId="0" fontId="25" fillId="0" borderId="8" xfId="0" applyFont="1" applyBorder="1" applyAlignment="1">
      <alignment vertical="center" wrapText="1" readingOrder="1"/>
    </xf>
    <xf numFmtId="0" fontId="24" fillId="0" borderId="8" xfId="0" quotePrefix="1" applyFont="1" applyBorder="1" applyAlignment="1">
      <alignment horizontal="left" vertical="center" wrapText="1" indent="1" readingOrder="1"/>
    </xf>
  </cellXfs>
  <cellStyles count="2">
    <cellStyle name="Normal" xfId="0" builtinId="0"/>
    <cellStyle name="Normal 10"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topLeftCell="B31" zoomScale="70" zoomScaleNormal="70" workbookViewId="0">
      <selection activeCell="C4" sqref="C4"/>
    </sheetView>
  </sheetViews>
  <sheetFormatPr defaultRowHeight="14.4"/>
  <cols>
    <col min="1" max="1" width="24.77734375" customWidth="1"/>
    <col min="2" max="2" width="47.88671875" customWidth="1"/>
    <col min="3" max="3" width="41.88671875" customWidth="1"/>
    <col min="4" max="4" width="84.44140625" customWidth="1"/>
    <col min="5" max="5" width="29.44140625" customWidth="1"/>
    <col min="6" max="6" width="26.33203125" customWidth="1"/>
    <col min="8" max="8" width="14.44140625" customWidth="1"/>
    <col min="11" max="11" width="10.88671875" bestFit="1" customWidth="1"/>
    <col min="13" max="13" width="20.6640625" customWidth="1"/>
  </cols>
  <sheetData>
    <row r="1" spans="1:6" ht="22.8">
      <c r="A1" s="1" t="s">
        <v>15</v>
      </c>
      <c r="B1" s="16" t="s">
        <v>32</v>
      </c>
      <c r="C1" s="17"/>
      <c r="D1" s="17"/>
      <c r="E1" s="17"/>
      <c r="F1" s="18"/>
    </row>
    <row r="2" spans="1:6" ht="22.8">
      <c r="A2" s="1" t="s">
        <v>16</v>
      </c>
      <c r="B2" s="19" t="s">
        <v>33</v>
      </c>
      <c r="C2" s="20"/>
      <c r="D2" s="20"/>
      <c r="E2" s="20"/>
      <c r="F2" s="21"/>
    </row>
    <row r="3" spans="1:6" ht="18">
      <c r="A3" s="2"/>
      <c r="B3" s="3" t="s">
        <v>17</v>
      </c>
      <c r="C3" s="3" t="s">
        <v>18</v>
      </c>
      <c r="D3" s="3" t="s">
        <v>19</v>
      </c>
      <c r="E3" s="4" t="s">
        <v>20</v>
      </c>
      <c r="F3" s="3" t="s">
        <v>21</v>
      </c>
    </row>
    <row r="4" spans="1:6" ht="18">
      <c r="A4" s="5" t="s">
        <v>22</v>
      </c>
      <c r="B4" s="2">
        <v>0</v>
      </c>
      <c r="C4" s="2">
        <v>0</v>
      </c>
      <c r="D4" s="2">
        <v>0</v>
      </c>
      <c r="E4" s="2">
        <v>0</v>
      </c>
      <c r="F4" s="2">
        <f>B4</f>
        <v>0</v>
      </c>
    </row>
    <row r="5" spans="1:6" ht="18">
      <c r="A5" s="5" t="s">
        <v>23</v>
      </c>
      <c r="B5" s="6">
        <v>0</v>
      </c>
      <c r="C5" s="2">
        <v>0</v>
      </c>
      <c r="D5" s="2">
        <v>0</v>
      </c>
      <c r="E5" s="2">
        <v>0</v>
      </c>
      <c r="F5" s="2">
        <f>B5</f>
        <v>0</v>
      </c>
    </row>
    <row r="31" spans="1:13" ht="17.399999999999999">
      <c r="A31" s="22" t="s">
        <v>0</v>
      </c>
      <c r="B31" s="22" t="s">
        <v>1</v>
      </c>
      <c r="C31" s="22" t="s">
        <v>24</v>
      </c>
      <c r="D31" s="22" t="s">
        <v>2</v>
      </c>
      <c r="E31" s="23" t="s">
        <v>3</v>
      </c>
      <c r="F31" s="22" t="s">
        <v>4</v>
      </c>
      <c r="G31" s="24" t="s">
        <v>25</v>
      </c>
      <c r="H31" s="24"/>
      <c r="I31" s="24"/>
      <c r="J31" s="24"/>
      <c r="K31" s="24"/>
      <c r="L31" s="24"/>
      <c r="M31" s="25" t="s">
        <v>26</v>
      </c>
    </row>
    <row r="32" spans="1:13" ht="17.399999999999999">
      <c r="A32" s="22"/>
      <c r="B32" s="22"/>
      <c r="C32" s="22"/>
      <c r="D32" s="22"/>
      <c r="E32" s="23"/>
      <c r="F32" s="22"/>
      <c r="G32" s="24" t="s">
        <v>27</v>
      </c>
      <c r="H32" s="24"/>
      <c r="I32" s="24"/>
      <c r="J32" s="24" t="s">
        <v>28</v>
      </c>
      <c r="K32" s="24"/>
      <c r="L32" s="24"/>
      <c r="M32" s="26"/>
    </row>
    <row r="33" spans="1:13" ht="16.8">
      <c r="A33" s="22"/>
      <c r="B33" s="22"/>
      <c r="C33" s="22"/>
      <c r="D33" s="22"/>
      <c r="E33" s="23"/>
      <c r="F33" s="22"/>
      <c r="G33" s="7" t="s">
        <v>29</v>
      </c>
      <c r="H33" s="8" t="s">
        <v>30</v>
      </c>
      <c r="I33" s="7" t="s">
        <v>31</v>
      </c>
      <c r="J33" s="7" t="s">
        <v>29</v>
      </c>
      <c r="K33" s="7" t="s">
        <v>30</v>
      </c>
      <c r="L33" s="7" t="s">
        <v>31</v>
      </c>
      <c r="M33" s="26"/>
    </row>
    <row r="34" spans="1:13" ht="16.8">
      <c r="A34" s="27" t="s">
        <v>34</v>
      </c>
      <c r="B34" s="28"/>
      <c r="C34" s="28"/>
      <c r="D34" s="28"/>
      <c r="E34" s="28"/>
      <c r="F34" s="28"/>
      <c r="G34" s="28"/>
      <c r="H34" s="28"/>
      <c r="I34" s="28"/>
      <c r="J34" s="28"/>
      <c r="K34" s="28"/>
      <c r="L34" s="28"/>
      <c r="M34" s="29"/>
    </row>
    <row r="35" spans="1:13" ht="255.6" customHeight="1">
      <c r="A35" s="11" t="s">
        <v>5</v>
      </c>
      <c r="B35" s="11" t="s">
        <v>6</v>
      </c>
      <c r="C35" s="11" t="s">
        <v>35</v>
      </c>
      <c r="D35" s="9" t="s">
        <v>36</v>
      </c>
      <c r="E35" s="13" t="s">
        <v>43</v>
      </c>
      <c r="F35" s="13"/>
      <c r="G35" s="10" t="s">
        <v>7</v>
      </c>
      <c r="H35" s="14">
        <v>46299</v>
      </c>
      <c r="I35" s="10" t="s">
        <v>37</v>
      </c>
      <c r="J35" s="10" t="s">
        <v>7</v>
      </c>
      <c r="K35" s="15">
        <v>46299</v>
      </c>
      <c r="L35" s="10" t="s">
        <v>37</v>
      </c>
      <c r="M35" s="12"/>
    </row>
    <row r="36" spans="1:13" ht="235.2">
      <c r="A36" s="11" t="s">
        <v>8</v>
      </c>
      <c r="B36" s="11" t="s">
        <v>9</v>
      </c>
      <c r="C36" s="11" t="s">
        <v>38</v>
      </c>
      <c r="D36" s="9" t="s">
        <v>10</v>
      </c>
      <c r="E36" s="13" t="s">
        <v>42</v>
      </c>
      <c r="F36" s="13"/>
      <c r="G36" s="10" t="s">
        <v>7</v>
      </c>
      <c r="H36" s="14">
        <v>46299</v>
      </c>
      <c r="I36" s="10" t="s">
        <v>37</v>
      </c>
      <c r="J36" s="10" t="s">
        <v>7</v>
      </c>
      <c r="K36" s="15">
        <v>46299</v>
      </c>
      <c r="L36" s="10" t="s">
        <v>37</v>
      </c>
      <c r="M36" s="12"/>
    </row>
    <row r="37" spans="1:13" ht="263.39999999999998" customHeight="1">
      <c r="A37" s="11" t="s">
        <v>11</v>
      </c>
      <c r="B37" s="11" t="s">
        <v>12</v>
      </c>
      <c r="C37" s="11" t="s">
        <v>39</v>
      </c>
      <c r="D37" s="9" t="s">
        <v>40</v>
      </c>
      <c r="E37" s="13" t="s">
        <v>41</v>
      </c>
      <c r="F37" s="13"/>
      <c r="G37" s="10" t="s">
        <v>7</v>
      </c>
      <c r="H37" s="14">
        <v>46299</v>
      </c>
      <c r="I37" s="10" t="s">
        <v>37</v>
      </c>
      <c r="J37" s="10" t="s">
        <v>7</v>
      </c>
      <c r="K37" s="15">
        <v>46299</v>
      </c>
      <c r="L37" s="10" t="s">
        <v>37</v>
      </c>
      <c r="M37" s="12"/>
    </row>
    <row r="38" spans="1:13" ht="193.2" customHeight="1">
      <c r="A38" s="11" t="s">
        <v>13</v>
      </c>
      <c r="B38" s="11" t="s">
        <v>14</v>
      </c>
      <c r="C38" s="11" t="s">
        <v>44</v>
      </c>
      <c r="D38" s="13" t="s">
        <v>45</v>
      </c>
      <c r="E38" s="13" t="s">
        <v>46</v>
      </c>
      <c r="F38" s="13"/>
      <c r="G38" s="10" t="s">
        <v>7</v>
      </c>
      <c r="H38" s="14">
        <v>46299</v>
      </c>
      <c r="I38" s="10" t="s">
        <v>37</v>
      </c>
      <c r="J38" s="10" t="s">
        <v>7</v>
      </c>
      <c r="K38" s="15">
        <v>46299</v>
      </c>
      <c r="L38" s="10" t="s">
        <v>37</v>
      </c>
      <c r="M38" s="12"/>
    </row>
  </sheetData>
  <mergeCells count="13">
    <mergeCell ref="G31:L31"/>
    <mergeCell ref="M31:M33"/>
    <mergeCell ref="G32:I32"/>
    <mergeCell ref="J32:L32"/>
    <mergeCell ref="A34:M34"/>
    <mergeCell ref="B1:F1"/>
    <mergeCell ref="B2:F2"/>
    <mergeCell ref="A31:A33"/>
    <mergeCell ref="B31:B33"/>
    <mergeCell ref="C31:C33"/>
    <mergeCell ref="D31:D33"/>
    <mergeCell ref="E31:E33"/>
    <mergeCell ref="F31:F33"/>
  </mergeCells>
  <dataValidations count="1">
    <dataValidation type="list" operator="equal" allowBlank="1" showErrorMessage="1" promptTitle="dfdf" sqref="G35:G38 J35:J38">
      <formula1>"Passed,Untested,Failed,Blocked"</formula1>
      <formula2>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zoomScale="55" zoomScaleNormal="55" workbookViewId="0">
      <selection activeCell="C8" sqref="C8"/>
    </sheetView>
  </sheetViews>
  <sheetFormatPr defaultRowHeight="14.4"/>
  <cols>
    <col min="1" max="1" width="17.33203125" customWidth="1"/>
    <col min="2" max="2" width="41.44140625" customWidth="1"/>
    <col min="3" max="3" width="27.6640625" customWidth="1"/>
    <col min="4" max="4" width="69.109375" bestFit="1" customWidth="1"/>
    <col min="5" max="5" width="29.77734375" customWidth="1"/>
    <col min="6" max="6" width="33.44140625" customWidth="1"/>
    <col min="7" max="7" width="22.109375" customWidth="1"/>
    <col min="8" max="8" width="17.33203125" customWidth="1"/>
    <col min="11" max="11" width="15.33203125" customWidth="1"/>
  </cols>
  <sheetData>
    <row r="1" spans="1:13" ht="18" customHeight="1">
      <c r="A1" s="30" t="s">
        <v>15</v>
      </c>
      <c r="B1" s="31" t="s">
        <v>32</v>
      </c>
      <c r="C1" s="31"/>
      <c r="D1" s="31"/>
      <c r="E1" s="31"/>
      <c r="F1" s="31"/>
    </row>
    <row r="2" spans="1:13" ht="20.399999999999999" customHeight="1">
      <c r="A2" s="30" t="s">
        <v>16</v>
      </c>
      <c r="B2" s="31" t="s">
        <v>50</v>
      </c>
      <c r="C2" s="32"/>
      <c r="D2" s="32"/>
      <c r="E2" s="32"/>
      <c r="F2" s="32"/>
    </row>
    <row r="3" spans="1:13" ht="33" customHeight="1">
      <c r="A3" s="33"/>
      <c r="B3" s="34" t="s">
        <v>17</v>
      </c>
      <c r="C3" s="34" t="s">
        <v>18</v>
      </c>
      <c r="D3" s="34" t="s">
        <v>19</v>
      </c>
      <c r="E3" s="34" t="s">
        <v>47</v>
      </c>
      <c r="F3" s="34" t="s">
        <v>48</v>
      </c>
    </row>
    <row r="4" spans="1:13" ht="13.8" customHeight="1">
      <c r="A4" s="35" t="s">
        <v>22</v>
      </c>
      <c r="B4" s="36"/>
      <c r="C4" s="36">
        <v>0</v>
      </c>
      <c r="D4" s="33">
        <f>COUNTIF(G6:G8,"Untested")</f>
        <v>0</v>
      </c>
      <c r="E4" s="37">
        <f>COUNTIF(G6:G8,"Blocked")</f>
        <v>0</v>
      </c>
      <c r="F4" s="33">
        <v>16</v>
      </c>
    </row>
    <row r="5" spans="1:13" ht="12.6" customHeight="1">
      <c r="A5" s="35" t="s">
        <v>23</v>
      </c>
      <c r="B5" s="36"/>
      <c r="C5" s="36">
        <v>0</v>
      </c>
      <c r="D5" s="33">
        <f>COUNTIF(J6:J8,"Untested")</f>
        <v>0</v>
      </c>
      <c r="E5" s="37">
        <f>COUNTIF(J6:J8,"Blocked")</f>
        <v>0</v>
      </c>
      <c r="F5" s="33">
        <v>16</v>
      </c>
    </row>
    <row r="14" spans="1:13" ht="16.8">
      <c r="A14" s="38" t="s">
        <v>0</v>
      </c>
      <c r="B14" s="38" t="s">
        <v>1</v>
      </c>
      <c r="C14" s="38" t="s">
        <v>49</v>
      </c>
      <c r="D14" s="38" t="s">
        <v>2</v>
      </c>
      <c r="E14" s="38" t="s">
        <v>3</v>
      </c>
      <c r="F14" s="38" t="s">
        <v>4</v>
      </c>
      <c r="G14" s="38" t="s">
        <v>25</v>
      </c>
      <c r="H14" s="38"/>
      <c r="I14" s="38"/>
      <c r="J14" s="38" t="s">
        <v>25</v>
      </c>
      <c r="K14" s="38"/>
      <c r="L14" s="38"/>
      <c r="M14" s="38" t="s">
        <v>26</v>
      </c>
    </row>
    <row r="15" spans="1:13" ht="16.8">
      <c r="A15" s="38"/>
      <c r="B15" s="38"/>
      <c r="C15" s="38"/>
      <c r="D15" s="38"/>
      <c r="E15" s="38"/>
      <c r="F15" s="38"/>
      <c r="G15" s="38" t="s">
        <v>27</v>
      </c>
      <c r="H15" s="38"/>
      <c r="I15" s="38"/>
      <c r="J15" s="38" t="s">
        <v>28</v>
      </c>
      <c r="K15" s="38"/>
      <c r="L15" s="38"/>
      <c r="M15" s="38"/>
    </row>
    <row r="16" spans="1:13" ht="50.4">
      <c r="A16" s="38"/>
      <c r="B16" s="38"/>
      <c r="C16" s="38"/>
      <c r="D16" s="38"/>
      <c r="E16" s="38"/>
      <c r="F16" s="38"/>
      <c r="G16" s="39" t="s">
        <v>29</v>
      </c>
      <c r="H16" s="40" t="s">
        <v>30</v>
      </c>
      <c r="I16" s="34" t="s">
        <v>31</v>
      </c>
      <c r="J16" s="39" t="s">
        <v>29</v>
      </c>
      <c r="K16" s="40" t="s">
        <v>30</v>
      </c>
      <c r="L16" s="34" t="s">
        <v>31</v>
      </c>
      <c r="M16" s="38"/>
    </row>
    <row r="17" spans="1:13" ht="16.8">
      <c r="A17" s="45" t="s">
        <v>51</v>
      </c>
      <c r="B17" s="45"/>
      <c r="C17" s="45"/>
      <c r="D17" s="45"/>
      <c r="E17" s="45"/>
      <c r="F17" s="45"/>
      <c r="G17" s="45"/>
      <c r="H17" s="45"/>
      <c r="I17" s="45"/>
      <c r="J17" s="45"/>
      <c r="K17" s="45"/>
      <c r="L17" s="45"/>
      <c r="M17" s="45"/>
    </row>
    <row r="18" spans="1:13" ht="151.19999999999999">
      <c r="A18" s="41" t="s">
        <v>52</v>
      </c>
      <c r="B18" s="41" t="s">
        <v>57</v>
      </c>
      <c r="C18" s="41" t="s">
        <v>58</v>
      </c>
      <c r="D18" s="42" t="s">
        <v>67</v>
      </c>
      <c r="E18" s="46" t="s">
        <v>68</v>
      </c>
      <c r="F18" s="46"/>
      <c r="G18" s="43" t="s">
        <v>7</v>
      </c>
      <c r="H18" s="47" t="s">
        <v>77</v>
      </c>
      <c r="I18" s="44" t="s">
        <v>37</v>
      </c>
      <c r="J18" s="43" t="s">
        <v>7</v>
      </c>
      <c r="K18" s="47" t="s">
        <v>77</v>
      </c>
      <c r="L18" s="44"/>
      <c r="M18" s="42"/>
    </row>
    <row r="19" spans="1:13" ht="235.2">
      <c r="A19" s="41" t="s">
        <v>53</v>
      </c>
      <c r="B19" s="41" t="s">
        <v>59</v>
      </c>
      <c r="C19" s="41" t="s">
        <v>60</v>
      </c>
      <c r="D19" s="42" t="s">
        <v>69</v>
      </c>
      <c r="E19" s="46" t="s">
        <v>70</v>
      </c>
      <c r="F19" s="46"/>
      <c r="G19" s="43" t="s">
        <v>7</v>
      </c>
      <c r="H19" s="47" t="s">
        <v>77</v>
      </c>
      <c r="I19" s="44" t="s">
        <v>37</v>
      </c>
      <c r="J19" s="43" t="s">
        <v>7</v>
      </c>
      <c r="K19" s="47" t="s">
        <v>77</v>
      </c>
      <c r="L19" s="44"/>
      <c r="M19" s="42"/>
    </row>
    <row r="20" spans="1:13" ht="151.19999999999999">
      <c r="A20" s="41" t="s">
        <v>54</v>
      </c>
      <c r="B20" s="41" t="s">
        <v>61</v>
      </c>
      <c r="C20" s="41" t="s">
        <v>66</v>
      </c>
      <c r="D20" s="42" t="s">
        <v>71</v>
      </c>
      <c r="E20" s="46" t="s">
        <v>72</v>
      </c>
      <c r="F20" s="46"/>
      <c r="G20" s="43" t="s">
        <v>7</v>
      </c>
      <c r="H20" s="47" t="s">
        <v>77</v>
      </c>
      <c r="I20" s="44" t="s">
        <v>37</v>
      </c>
      <c r="J20" s="43" t="s">
        <v>7</v>
      </c>
      <c r="K20" s="47" t="s">
        <v>77</v>
      </c>
      <c r="L20" s="44"/>
      <c r="M20" s="42"/>
    </row>
    <row r="21" spans="1:13" ht="151.19999999999999">
      <c r="A21" s="41" t="s">
        <v>55</v>
      </c>
      <c r="B21" s="41" t="s">
        <v>62</v>
      </c>
      <c r="C21" s="41" t="s">
        <v>65</v>
      </c>
      <c r="D21" s="42" t="s">
        <v>73</v>
      </c>
      <c r="E21" s="46" t="s">
        <v>74</v>
      </c>
      <c r="F21" s="46"/>
      <c r="G21" s="43" t="s">
        <v>7</v>
      </c>
      <c r="H21" s="47" t="s">
        <v>77</v>
      </c>
      <c r="I21" s="44" t="s">
        <v>37</v>
      </c>
      <c r="J21" s="43" t="s">
        <v>7</v>
      </c>
      <c r="K21" s="47" t="s">
        <v>77</v>
      </c>
      <c r="L21" s="44"/>
      <c r="M21" s="42"/>
    </row>
    <row r="22" spans="1:13" ht="184.8">
      <c r="A22" s="41" t="s">
        <v>56</v>
      </c>
      <c r="B22" s="41" t="s">
        <v>63</v>
      </c>
      <c r="C22" s="41" t="s">
        <v>64</v>
      </c>
      <c r="D22" s="42" t="s">
        <v>75</v>
      </c>
      <c r="E22" s="46" t="s">
        <v>76</v>
      </c>
      <c r="F22" s="46"/>
      <c r="G22" s="43" t="s">
        <v>7</v>
      </c>
      <c r="H22" s="47" t="s">
        <v>77</v>
      </c>
      <c r="I22" s="44" t="s">
        <v>37</v>
      </c>
      <c r="J22" s="43" t="s">
        <v>7</v>
      </c>
      <c r="K22" s="47" t="s">
        <v>77</v>
      </c>
      <c r="L22" s="44"/>
      <c r="M22" s="42"/>
    </row>
  </sheetData>
  <mergeCells count="14">
    <mergeCell ref="A17:M17"/>
    <mergeCell ref="G14:I14"/>
    <mergeCell ref="J14:L14"/>
    <mergeCell ref="M14:M16"/>
    <mergeCell ref="G15:I15"/>
    <mergeCell ref="J15:L15"/>
    <mergeCell ref="B1:F1"/>
    <mergeCell ref="B2:F2"/>
    <mergeCell ref="A14:A16"/>
    <mergeCell ref="B14:B16"/>
    <mergeCell ref="C14:C16"/>
    <mergeCell ref="D14:D16"/>
    <mergeCell ref="E14:E16"/>
    <mergeCell ref="F14:F16"/>
  </mergeCells>
  <dataValidations count="1">
    <dataValidation type="list" operator="equal" allowBlank="1" showErrorMessage="1" promptTitle="dfdf" sqref="G18:G22 J18:J22">
      <formula1>"Passed,Untested,Failed,Blocked"</formula1>
      <formula2>0</formula2>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zoomScale="70" zoomScaleNormal="70" workbookViewId="0">
      <selection activeCell="F5" sqref="F5"/>
    </sheetView>
  </sheetViews>
  <sheetFormatPr defaultRowHeight="14.4"/>
  <cols>
    <col min="1" max="1" width="16.88671875" customWidth="1"/>
    <col min="2" max="2" width="29.6640625" customWidth="1"/>
    <col min="3" max="3" width="29.77734375" customWidth="1"/>
    <col min="4" max="4" width="53.44140625" customWidth="1"/>
    <col min="5" max="5" width="35.109375" customWidth="1"/>
    <col min="6" max="6" width="31" customWidth="1"/>
    <col min="7" max="8" width="22" customWidth="1"/>
    <col min="11" max="11" width="18.21875" customWidth="1"/>
    <col min="12" max="12" width="12.88671875" customWidth="1"/>
  </cols>
  <sheetData>
    <row r="1" spans="1:13" ht="18" customHeight="1">
      <c r="A1" s="30" t="s">
        <v>15</v>
      </c>
      <c r="B1" s="31" t="s">
        <v>32</v>
      </c>
      <c r="C1" s="31"/>
      <c r="D1" s="31"/>
      <c r="E1" s="31"/>
      <c r="F1" s="31"/>
    </row>
    <row r="2" spans="1:13" ht="22.2" customHeight="1">
      <c r="A2" s="30" t="s">
        <v>16</v>
      </c>
      <c r="B2" s="31" t="s">
        <v>78</v>
      </c>
      <c r="C2" s="32"/>
      <c r="D2" s="32"/>
      <c r="E2" s="32"/>
      <c r="F2" s="32"/>
    </row>
    <row r="3" spans="1:13" ht="28.8" customHeight="1">
      <c r="A3" s="33"/>
      <c r="B3" s="34" t="s">
        <v>17</v>
      </c>
      <c r="C3" s="34" t="s">
        <v>18</v>
      </c>
      <c r="D3" s="34" t="s">
        <v>19</v>
      </c>
      <c r="E3" s="34" t="s">
        <v>47</v>
      </c>
      <c r="F3" s="34" t="s">
        <v>48</v>
      </c>
    </row>
    <row r="4" spans="1:13" ht="21" customHeight="1">
      <c r="A4" s="35" t="s">
        <v>22</v>
      </c>
      <c r="B4" s="36"/>
      <c r="C4" s="36">
        <v>0</v>
      </c>
      <c r="D4" s="33">
        <f>COUNTIF(G6:G8,"Untested")</f>
        <v>0</v>
      </c>
      <c r="E4" s="37">
        <f>COUNTIF(G6:G8,"Blocked")</f>
        <v>0</v>
      </c>
      <c r="F4" s="33"/>
    </row>
    <row r="5" spans="1:13" ht="15" customHeight="1">
      <c r="A5" s="35" t="s">
        <v>23</v>
      </c>
      <c r="B5" s="36"/>
      <c r="C5" s="36">
        <v>0</v>
      </c>
      <c r="D5" s="33">
        <f>COUNTIF(J6:J8,"Untested")</f>
        <v>0</v>
      </c>
      <c r="E5" s="37">
        <f>COUNTIF(J6:J8,"Blocked")</f>
        <v>0</v>
      </c>
      <c r="F5" s="33"/>
    </row>
    <row r="14" spans="1:13" ht="16.8">
      <c r="A14" s="38" t="s">
        <v>0</v>
      </c>
      <c r="B14" s="38" t="s">
        <v>1</v>
      </c>
      <c r="C14" s="38" t="s">
        <v>49</v>
      </c>
      <c r="D14" s="38" t="s">
        <v>2</v>
      </c>
      <c r="E14" s="38" t="s">
        <v>3</v>
      </c>
      <c r="F14" s="38" t="s">
        <v>4</v>
      </c>
      <c r="G14" s="38" t="s">
        <v>25</v>
      </c>
      <c r="H14" s="38"/>
      <c r="I14" s="38"/>
      <c r="J14" s="38" t="s">
        <v>25</v>
      </c>
      <c r="K14" s="38"/>
      <c r="L14" s="38"/>
      <c r="M14" s="38" t="s">
        <v>26</v>
      </c>
    </row>
    <row r="15" spans="1:13" ht="16.8">
      <c r="A15" s="38"/>
      <c r="B15" s="38"/>
      <c r="C15" s="38"/>
      <c r="D15" s="38"/>
      <c r="E15" s="38"/>
      <c r="F15" s="38"/>
      <c r="G15" s="38" t="s">
        <v>27</v>
      </c>
      <c r="H15" s="38"/>
      <c r="I15" s="38"/>
      <c r="J15" s="38" t="s">
        <v>28</v>
      </c>
      <c r="K15" s="38"/>
      <c r="L15" s="38"/>
      <c r="M15" s="38"/>
    </row>
    <row r="16" spans="1:13" ht="50.4">
      <c r="A16" s="38"/>
      <c r="B16" s="38"/>
      <c r="C16" s="38"/>
      <c r="D16" s="38"/>
      <c r="E16" s="38"/>
      <c r="F16" s="38"/>
      <c r="G16" s="39" t="s">
        <v>29</v>
      </c>
      <c r="H16" s="40" t="s">
        <v>30</v>
      </c>
      <c r="I16" s="34" t="s">
        <v>31</v>
      </c>
      <c r="J16" s="39" t="s">
        <v>29</v>
      </c>
      <c r="K16" s="40" t="s">
        <v>30</v>
      </c>
      <c r="L16" s="34" t="s">
        <v>31</v>
      </c>
      <c r="M16" s="38"/>
    </row>
    <row r="17" spans="1:13" ht="16.8">
      <c r="A17" s="45" t="s">
        <v>79</v>
      </c>
      <c r="B17" s="45"/>
      <c r="C17" s="45"/>
      <c r="D17" s="45"/>
      <c r="E17" s="45"/>
      <c r="F17" s="45"/>
      <c r="G17" s="45"/>
      <c r="H17" s="45"/>
      <c r="I17" s="45"/>
      <c r="J17" s="45"/>
      <c r="K17" s="45"/>
      <c r="L17" s="45"/>
      <c r="M17" s="45"/>
    </row>
    <row r="18" spans="1:13" ht="151.19999999999999">
      <c r="A18" s="41" t="s">
        <v>80</v>
      </c>
      <c r="B18" s="41" t="s">
        <v>85</v>
      </c>
      <c r="C18" s="41" t="s">
        <v>86</v>
      </c>
      <c r="D18" s="42" t="s">
        <v>94</v>
      </c>
      <c r="E18" s="46" t="s">
        <v>95</v>
      </c>
      <c r="F18" s="46"/>
      <c r="G18" s="43" t="s">
        <v>7</v>
      </c>
      <c r="H18" s="47" t="s">
        <v>77</v>
      </c>
      <c r="I18" s="44" t="s">
        <v>37</v>
      </c>
      <c r="J18" s="43" t="s">
        <v>7</v>
      </c>
      <c r="K18" s="47" t="s">
        <v>77</v>
      </c>
      <c r="L18" s="44"/>
      <c r="M18" s="42"/>
    </row>
    <row r="19" spans="1:13" ht="117.6">
      <c r="A19" s="41" t="s">
        <v>81</v>
      </c>
      <c r="B19" s="41" t="s">
        <v>87</v>
      </c>
      <c r="C19" s="41" t="s">
        <v>88</v>
      </c>
      <c r="D19" s="42" t="s">
        <v>96</v>
      </c>
      <c r="E19" s="46" t="s">
        <v>97</v>
      </c>
      <c r="F19" s="46"/>
      <c r="G19" s="43" t="s">
        <v>7</v>
      </c>
      <c r="H19" s="47" t="s">
        <v>77</v>
      </c>
      <c r="I19" s="44" t="s">
        <v>37</v>
      </c>
      <c r="J19" s="43" t="s">
        <v>7</v>
      </c>
      <c r="K19" s="47" t="s">
        <v>77</v>
      </c>
      <c r="L19" s="44"/>
      <c r="M19" s="42"/>
    </row>
    <row r="20" spans="1:13" ht="151.19999999999999">
      <c r="A20" s="41" t="s">
        <v>82</v>
      </c>
      <c r="B20" s="41" t="s">
        <v>89</v>
      </c>
      <c r="C20" s="41" t="s">
        <v>66</v>
      </c>
      <c r="D20" s="42" t="s">
        <v>98</v>
      </c>
      <c r="E20" s="46" t="s">
        <v>99</v>
      </c>
      <c r="F20" s="46"/>
      <c r="G20" s="43" t="s">
        <v>7</v>
      </c>
      <c r="H20" s="47" t="s">
        <v>77</v>
      </c>
      <c r="I20" s="44" t="s">
        <v>37</v>
      </c>
      <c r="J20" s="43" t="s">
        <v>7</v>
      </c>
      <c r="K20" s="47" t="s">
        <v>77</v>
      </c>
      <c r="L20" s="44"/>
      <c r="M20" s="42"/>
    </row>
    <row r="21" spans="1:13" ht="117.6">
      <c r="A21" s="41" t="s">
        <v>83</v>
      </c>
      <c r="B21" s="41" t="s">
        <v>90</v>
      </c>
      <c r="C21" s="41" t="s">
        <v>91</v>
      </c>
      <c r="D21" s="42" t="s">
        <v>100</v>
      </c>
      <c r="E21" s="46" t="s">
        <v>101</v>
      </c>
      <c r="F21" s="46"/>
      <c r="G21" s="43" t="s">
        <v>7</v>
      </c>
      <c r="H21" s="47" t="s">
        <v>77</v>
      </c>
      <c r="I21" s="44" t="s">
        <v>37</v>
      </c>
      <c r="J21" s="43" t="s">
        <v>7</v>
      </c>
      <c r="K21" s="47" t="s">
        <v>77</v>
      </c>
      <c r="L21" s="44"/>
      <c r="M21" s="42"/>
    </row>
    <row r="22" spans="1:13" ht="168">
      <c r="A22" s="41" t="s">
        <v>84</v>
      </c>
      <c r="B22" s="41" t="s">
        <v>92</v>
      </c>
      <c r="C22" s="41" t="s">
        <v>93</v>
      </c>
      <c r="D22" s="42" t="s">
        <v>102</v>
      </c>
      <c r="E22" s="46" t="s">
        <v>103</v>
      </c>
      <c r="F22" s="46"/>
      <c r="G22" s="43" t="s">
        <v>7</v>
      </c>
      <c r="H22" s="47" t="s">
        <v>77</v>
      </c>
      <c r="I22" s="44" t="s">
        <v>37</v>
      </c>
      <c r="J22" s="43" t="s">
        <v>7</v>
      </c>
      <c r="K22" s="47" t="s">
        <v>77</v>
      </c>
      <c r="L22" s="44"/>
      <c r="M22" s="42"/>
    </row>
  </sheetData>
  <mergeCells count="14">
    <mergeCell ref="G14:I14"/>
    <mergeCell ref="J14:L14"/>
    <mergeCell ref="M14:M16"/>
    <mergeCell ref="G15:I15"/>
    <mergeCell ref="J15:L15"/>
    <mergeCell ref="A17:M17"/>
    <mergeCell ref="B1:F1"/>
    <mergeCell ref="B2:F2"/>
    <mergeCell ref="A14:A16"/>
    <mergeCell ref="B14:B16"/>
    <mergeCell ref="C14:C16"/>
    <mergeCell ref="D14:D16"/>
    <mergeCell ref="E14:E16"/>
    <mergeCell ref="F14:F16"/>
  </mergeCells>
  <dataValidations count="1">
    <dataValidation type="list" operator="equal" allowBlank="1" showErrorMessage="1" promptTitle="dfdf" sqref="G18:G22 J18:J22">
      <formula1>"Passed,Untested,Failed,Blocked"</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topLeftCell="B1" zoomScale="70" zoomScaleNormal="70" workbookViewId="0">
      <selection activeCell="E4" sqref="E4"/>
    </sheetView>
  </sheetViews>
  <sheetFormatPr defaultRowHeight="14.4"/>
  <cols>
    <col min="1" max="1" width="17.88671875" customWidth="1"/>
    <col min="2" max="2" width="23.88671875" customWidth="1"/>
    <col min="3" max="3" width="24.109375" customWidth="1"/>
    <col min="4" max="4" width="85.21875" bestFit="1" customWidth="1"/>
    <col min="5" max="5" width="28" customWidth="1"/>
    <col min="6" max="6" width="36" customWidth="1"/>
    <col min="7" max="7" width="14.21875" customWidth="1"/>
    <col min="8" max="8" width="10.77734375" customWidth="1"/>
    <col min="9" max="9" width="13.77734375" customWidth="1"/>
    <col min="10" max="10" width="9.6640625" customWidth="1"/>
    <col min="11" max="11" width="12.21875" bestFit="1" customWidth="1"/>
  </cols>
  <sheetData>
    <row r="1" spans="1:13" ht="33.6" customHeight="1">
      <c r="A1" s="30" t="s">
        <v>15</v>
      </c>
      <c r="B1" s="31" t="s">
        <v>32</v>
      </c>
      <c r="C1" s="31"/>
      <c r="D1" s="31"/>
      <c r="E1" s="31"/>
      <c r="F1" s="31"/>
    </row>
    <row r="2" spans="1:13" ht="35.4" customHeight="1">
      <c r="A2" s="30" t="s">
        <v>16</v>
      </c>
      <c r="B2" s="31" t="s">
        <v>104</v>
      </c>
      <c r="C2" s="32"/>
      <c r="D2" s="32"/>
      <c r="E2" s="32"/>
      <c r="F2" s="32"/>
    </row>
    <row r="3" spans="1:13" ht="19.8" customHeight="1">
      <c r="A3" s="33"/>
      <c r="B3" s="34" t="s">
        <v>17</v>
      </c>
      <c r="C3" s="34" t="s">
        <v>18</v>
      </c>
      <c r="D3" s="34" t="s">
        <v>19</v>
      </c>
      <c r="E3" s="34" t="s">
        <v>47</v>
      </c>
      <c r="F3" s="34" t="s">
        <v>48</v>
      </c>
    </row>
    <row r="4" spans="1:13" ht="19.2" customHeight="1">
      <c r="A4" s="35" t="s">
        <v>22</v>
      </c>
      <c r="B4" s="36"/>
      <c r="C4" s="36">
        <v>0</v>
      </c>
      <c r="D4" s="33">
        <f>COUNTIF(G6:G8,"Untested")</f>
        <v>0</v>
      </c>
      <c r="E4" s="37">
        <f>COUNTIF(G6:G8,"Blocked")</f>
        <v>0</v>
      </c>
      <c r="F4" s="33"/>
    </row>
    <row r="5" spans="1:13" ht="16.8">
      <c r="A5" s="35" t="s">
        <v>23</v>
      </c>
      <c r="B5" s="36"/>
      <c r="C5" s="36">
        <v>0</v>
      </c>
      <c r="D5" s="33">
        <f>COUNTIF(J6:J8,"Untested")</f>
        <v>0</v>
      </c>
      <c r="E5" s="37">
        <f>COUNTIF(J6:J8,"Blocked")</f>
        <v>0</v>
      </c>
      <c r="F5" s="33"/>
    </row>
    <row r="14" spans="1:13" ht="16.8">
      <c r="A14" s="38" t="s">
        <v>0</v>
      </c>
      <c r="B14" s="38" t="s">
        <v>1</v>
      </c>
      <c r="C14" s="38" t="s">
        <v>49</v>
      </c>
      <c r="D14" s="38" t="s">
        <v>2</v>
      </c>
      <c r="E14" s="38" t="s">
        <v>3</v>
      </c>
      <c r="F14" s="38" t="s">
        <v>4</v>
      </c>
      <c r="G14" s="38" t="s">
        <v>25</v>
      </c>
      <c r="H14" s="38"/>
      <c r="I14" s="38"/>
      <c r="J14" s="38" t="s">
        <v>25</v>
      </c>
      <c r="K14" s="38"/>
      <c r="L14" s="38"/>
      <c r="M14" s="38" t="s">
        <v>26</v>
      </c>
    </row>
    <row r="15" spans="1:13" ht="16.8">
      <c r="A15" s="38"/>
      <c r="B15" s="38"/>
      <c r="C15" s="38"/>
      <c r="D15" s="38"/>
      <c r="E15" s="38"/>
      <c r="F15" s="38"/>
      <c r="G15" s="38" t="s">
        <v>27</v>
      </c>
      <c r="H15" s="38"/>
      <c r="I15" s="38"/>
      <c r="J15" s="38" t="s">
        <v>28</v>
      </c>
      <c r="K15" s="38"/>
      <c r="L15" s="38"/>
      <c r="M15" s="38"/>
    </row>
    <row r="16" spans="1:13" ht="50.4">
      <c r="A16" s="38"/>
      <c r="B16" s="38"/>
      <c r="C16" s="38"/>
      <c r="D16" s="38"/>
      <c r="E16" s="38"/>
      <c r="F16" s="38"/>
      <c r="G16" s="39" t="s">
        <v>29</v>
      </c>
      <c r="H16" s="40" t="s">
        <v>30</v>
      </c>
      <c r="I16" s="34" t="s">
        <v>31</v>
      </c>
      <c r="J16" s="39" t="s">
        <v>29</v>
      </c>
      <c r="K16" s="40" t="s">
        <v>30</v>
      </c>
      <c r="L16" s="34" t="s">
        <v>31</v>
      </c>
      <c r="M16" s="38"/>
    </row>
    <row r="17" spans="1:13" ht="16.8">
      <c r="A17" s="45" t="s">
        <v>105</v>
      </c>
      <c r="B17" s="45"/>
      <c r="C17" s="45"/>
      <c r="D17" s="45"/>
      <c r="E17" s="45"/>
      <c r="F17" s="45"/>
      <c r="G17" s="45"/>
      <c r="H17" s="45"/>
      <c r="I17" s="45"/>
      <c r="J17" s="45"/>
      <c r="K17" s="45"/>
      <c r="L17" s="45"/>
      <c r="M17" s="45"/>
    </row>
    <row r="18" spans="1:13" ht="184.8">
      <c r="A18" s="41" t="s">
        <v>106</v>
      </c>
      <c r="B18" s="41" t="s">
        <v>111</v>
      </c>
      <c r="C18" s="41" t="s">
        <v>112</v>
      </c>
      <c r="D18" s="42" t="s">
        <v>121</v>
      </c>
      <c r="E18" s="46" t="s">
        <v>130</v>
      </c>
      <c r="F18" s="46"/>
      <c r="G18" s="43" t="s">
        <v>7</v>
      </c>
      <c r="H18" s="47" t="s">
        <v>77</v>
      </c>
      <c r="I18" s="44" t="s">
        <v>37</v>
      </c>
      <c r="J18" s="43" t="s">
        <v>7</v>
      </c>
      <c r="K18" s="47" t="s">
        <v>77</v>
      </c>
      <c r="L18" s="44" t="s">
        <v>37</v>
      </c>
      <c r="M18" s="42"/>
    </row>
    <row r="19" spans="1:13" ht="252.6" customHeight="1">
      <c r="A19" s="41" t="s">
        <v>107</v>
      </c>
      <c r="B19" s="41" t="s">
        <v>113</v>
      </c>
      <c r="C19" s="41" t="s">
        <v>114</v>
      </c>
      <c r="D19" s="42" t="s">
        <v>122</v>
      </c>
      <c r="E19" s="46" t="s">
        <v>129</v>
      </c>
      <c r="F19" s="46"/>
      <c r="G19" s="43" t="s">
        <v>7</v>
      </c>
      <c r="H19" s="47" t="s">
        <v>77</v>
      </c>
      <c r="I19" s="44" t="s">
        <v>37</v>
      </c>
      <c r="J19" s="43" t="s">
        <v>7</v>
      </c>
      <c r="K19" s="47" t="s">
        <v>77</v>
      </c>
      <c r="L19" s="44" t="s">
        <v>37</v>
      </c>
      <c r="M19" s="42"/>
    </row>
    <row r="20" spans="1:13" ht="218.4">
      <c r="A20" s="41" t="s">
        <v>108</v>
      </c>
      <c r="B20" s="41" t="s">
        <v>115</v>
      </c>
      <c r="C20" s="41" t="s">
        <v>116</v>
      </c>
      <c r="D20" s="42" t="s">
        <v>123</v>
      </c>
      <c r="E20" s="46" t="s">
        <v>128</v>
      </c>
      <c r="F20" s="46"/>
      <c r="G20" s="43" t="s">
        <v>7</v>
      </c>
      <c r="H20" s="47" t="s">
        <v>77</v>
      </c>
      <c r="I20" s="44" t="s">
        <v>37</v>
      </c>
      <c r="J20" s="43" t="s">
        <v>7</v>
      </c>
      <c r="K20" s="47" t="s">
        <v>77</v>
      </c>
      <c r="L20" s="44" t="s">
        <v>37</v>
      </c>
      <c r="M20" s="42"/>
    </row>
    <row r="21" spans="1:13" ht="184.8">
      <c r="A21" s="41" t="s">
        <v>109</v>
      </c>
      <c r="B21" s="41" t="s">
        <v>117</v>
      </c>
      <c r="C21" s="41" t="s">
        <v>118</v>
      </c>
      <c r="D21" s="42" t="s">
        <v>124</v>
      </c>
      <c r="E21" s="46" t="s">
        <v>127</v>
      </c>
      <c r="F21" s="46"/>
      <c r="G21" s="43" t="s">
        <v>7</v>
      </c>
      <c r="H21" s="47" t="s">
        <v>77</v>
      </c>
      <c r="I21" s="44" t="s">
        <v>37</v>
      </c>
      <c r="J21" s="43" t="s">
        <v>7</v>
      </c>
      <c r="K21" s="47" t="s">
        <v>77</v>
      </c>
      <c r="L21" s="44" t="s">
        <v>37</v>
      </c>
      <c r="M21" s="42"/>
    </row>
    <row r="22" spans="1:13" ht="302.39999999999998">
      <c r="A22" s="41" t="s">
        <v>110</v>
      </c>
      <c r="B22" s="41" t="s">
        <v>119</v>
      </c>
      <c r="C22" s="41" t="s">
        <v>120</v>
      </c>
      <c r="D22" s="42" t="s">
        <v>125</v>
      </c>
      <c r="E22" s="46" t="s">
        <v>126</v>
      </c>
      <c r="F22" s="46"/>
      <c r="G22" s="43" t="s">
        <v>7</v>
      </c>
      <c r="H22" s="47" t="s">
        <v>77</v>
      </c>
      <c r="I22" s="44" t="s">
        <v>37</v>
      </c>
      <c r="J22" s="43" t="s">
        <v>7</v>
      </c>
      <c r="K22" s="47" t="s">
        <v>77</v>
      </c>
      <c r="L22" s="44" t="s">
        <v>37</v>
      </c>
      <c r="M22" s="42"/>
    </row>
  </sheetData>
  <mergeCells count="14">
    <mergeCell ref="G14:I14"/>
    <mergeCell ref="J14:L14"/>
    <mergeCell ref="M14:M16"/>
    <mergeCell ref="G15:I15"/>
    <mergeCell ref="J15:L15"/>
    <mergeCell ref="A17:M17"/>
    <mergeCell ref="B1:F1"/>
    <mergeCell ref="B2:F2"/>
    <mergeCell ref="A14:A16"/>
    <mergeCell ref="B14:B16"/>
    <mergeCell ref="C14:C16"/>
    <mergeCell ref="D14:D16"/>
    <mergeCell ref="E14:E16"/>
    <mergeCell ref="F14:F16"/>
  </mergeCells>
  <dataValidations count="1">
    <dataValidation type="list" operator="equal" allowBlank="1" showErrorMessage="1" promptTitle="dfdf" sqref="G18:G22 J18:J22">
      <formula1>"Passed,Untested,Failed,Blocked"</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zoomScale="55" zoomScaleNormal="55" workbookViewId="0">
      <selection activeCell="G18" sqref="G18"/>
    </sheetView>
  </sheetViews>
  <sheetFormatPr defaultRowHeight="14.4"/>
  <cols>
    <col min="1" max="1" width="15.6640625" bestFit="1" customWidth="1"/>
    <col min="2" max="2" width="63.77734375" bestFit="1" customWidth="1"/>
    <col min="3" max="3" width="38.6640625" bestFit="1" customWidth="1"/>
    <col min="4" max="4" width="92" bestFit="1" customWidth="1"/>
    <col min="5" max="5" width="36.44140625" bestFit="1" customWidth="1"/>
    <col min="6" max="6" width="27" bestFit="1" customWidth="1"/>
    <col min="7" max="7" width="7.77734375" bestFit="1" customWidth="1"/>
    <col min="8" max="8" width="14.109375" customWidth="1"/>
    <col min="11" max="11" width="13.5546875" customWidth="1"/>
    <col min="13" max="13" width="8.88671875" customWidth="1"/>
  </cols>
  <sheetData>
    <row r="1" spans="1:13" ht="16.8">
      <c r="A1" s="30" t="s">
        <v>15</v>
      </c>
      <c r="B1" s="31" t="s">
        <v>32</v>
      </c>
      <c r="C1" s="31"/>
      <c r="D1" s="31"/>
      <c r="E1" s="31"/>
      <c r="F1" s="31"/>
    </row>
    <row r="2" spans="1:13" ht="23.4" customHeight="1">
      <c r="A2" s="30" t="s">
        <v>16</v>
      </c>
      <c r="B2" s="31" t="s">
        <v>131</v>
      </c>
      <c r="C2" s="32"/>
      <c r="D2" s="32"/>
      <c r="E2" s="32"/>
      <c r="F2" s="32"/>
    </row>
    <row r="3" spans="1:13" ht="35.4" customHeight="1">
      <c r="A3" s="33"/>
      <c r="B3" s="34" t="s">
        <v>17</v>
      </c>
      <c r="C3" s="34" t="s">
        <v>18</v>
      </c>
      <c r="D3" s="34" t="s">
        <v>19</v>
      </c>
      <c r="E3" s="34" t="s">
        <v>47</v>
      </c>
      <c r="F3" s="34" t="s">
        <v>48</v>
      </c>
    </row>
    <row r="4" spans="1:13" ht="16.8">
      <c r="A4" s="35" t="s">
        <v>22</v>
      </c>
      <c r="B4" s="36"/>
      <c r="C4" s="36">
        <v>0</v>
      </c>
      <c r="D4" s="33">
        <f>COUNTIF(G6:G8,"Untested")</f>
        <v>0</v>
      </c>
      <c r="E4" s="37">
        <f>COUNTIF(G6:G8,"Blocked")</f>
        <v>0</v>
      </c>
      <c r="F4" s="33"/>
    </row>
    <row r="5" spans="1:13" ht="16.8">
      <c r="A5" s="35" t="s">
        <v>23</v>
      </c>
      <c r="B5" s="36"/>
      <c r="C5" s="36">
        <v>0</v>
      </c>
      <c r="D5" s="33">
        <f>COUNTIF(J6:J8,"Untested")</f>
        <v>0</v>
      </c>
      <c r="E5" s="37">
        <f>COUNTIF(J6:J8,"Blocked")</f>
        <v>0</v>
      </c>
      <c r="F5" s="33"/>
    </row>
    <row r="14" spans="1:13" ht="16.8">
      <c r="A14" s="38" t="s">
        <v>0</v>
      </c>
      <c r="B14" s="38" t="s">
        <v>1</v>
      </c>
      <c r="C14" s="38" t="s">
        <v>49</v>
      </c>
      <c r="D14" s="38" t="s">
        <v>2</v>
      </c>
      <c r="E14" s="38" t="s">
        <v>3</v>
      </c>
      <c r="F14" s="38" t="s">
        <v>4</v>
      </c>
      <c r="G14" s="38" t="s">
        <v>25</v>
      </c>
      <c r="H14" s="38"/>
      <c r="I14" s="38"/>
      <c r="J14" s="38" t="s">
        <v>25</v>
      </c>
      <c r="K14" s="38"/>
      <c r="L14" s="38"/>
      <c r="M14" s="38" t="s">
        <v>26</v>
      </c>
    </row>
    <row r="15" spans="1:13" ht="16.8">
      <c r="A15" s="38"/>
      <c r="B15" s="38"/>
      <c r="C15" s="38"/>
      <c r="D15" s="38"/>
      <c r="E15" s="38"/>
      <c r="F15" s="38"/>
      <c r="G15" s="38" t="s">
        <v>27</v>
      </c>
      <c r="H15" s="38"/>
      <c r="I15" s="38"/>
      <c r="J15" s="38" t="s">
        <v>28</v>
      </c>
      <c r="K15" s="38"/>
      <c r="L15" s="38"/>
      <c r="M15" s="38"/>
    </row>
    <row r="16" spans="1:13" ht="50.4">
      <c r="A16" s="38"/>
      <c r="B16" s="38"/>
      <c r="C16" s="38"/>
      <c r="D16" s="38"/>
      <c r="E16" s="38"/>
      <c r="F16" s="38"/>
      <c r="G16" s="39" t="s">
        <v>29</v>
      </c>
      <c r="H16" s="40" t="s">
        <v>30</v>
      </c>
      <c r="I16" s="34" t="s">
        <v>31</v>
      </c>
      <c r="J16" s="39" t="s">
        <v>29</v>
      </c>
      <c r="K16" s="40" t="s">
        <v>30</v>
      </c>
      <c r="L16" s="34" t="s">
        <v>31</v>
      </c>
      <c r="M16" s="38"/>
    </row>
    <row r="17" spans="1:13" ht="16.8">
      <c r="A17" s="45" t="s">
        <v>132</v>
      </c>
      <c r="B17" s="45"/>
      <c r="C17" s="45"/>
      <c r="D17" s="45"/>
      <c r="E17" s="45"/>
      <c r="F17" s="45"/>
      <c r="G17" s="45"/>
      <c r="H17" s="45"/>
      <c r="I17" s="45"/>
      <c r="J17" s="45"/>
      <c r="K17" s="45"/>
      <c r="L17" s="45"/>
      <c r="M17" s="45"/>
    </row>
    <row r="18" spans="1:13" ht="168">
      <c r="A18" s="41" t="s">
        <v>133</v>
      </c>
      <c r="B18" s="41" t="s">
        <v>138</v>
      </c>
      <c r="C18" s="41" t="s">
        <v>139</v>
      </c>
      <c r="D18" s="42" t="s">
        <v>148</v>
      </c>
      <c r="E18" s="46" t="s">
        <v>149</v>
      </c>
      <c r="F18" s="46"/>
      <c r="G18" s="43" t="s">
        <v>7</v>
      </c>
      <c r="H18" s="47" t="s">
        <v>77</v>
      </c>
      <c r="I18" s="44" t="s">
        <v>37</v>
      </c>
      <c r="J18" s="43" t="s">
        <v>7</v>
      </c>
      <c r="K18" s="47" t="s">
        <v>77</v>
      </c>
      <c r="L18" s="44" t="s">
        <v>37</v>
      </c>
      <c r="M18" s="42"/>
    </row>
    <row r="19" spans="1:13" ht="201.6">
      <c r="A19" s="41" t="s">
        <v>134</v>
      </c>
      <c r="B19" s="41" t="s">
        <v>140</v>
      </c>
      <c r="C19" s="41" t="s">
        <v>141</v>
      </c>
      <c r="D19" s="42" t="s">
        <v>148</v>
      </c>
      <c r="E19" s="46" t="s">
        <v>156</v>
      </c>
      <c r="F19" s="46"/>
      <c r="G19" s="43" t="s">
        <v>7</v>
      </c>
      <c r="H19" s="47" t="s">
        <v>77</v>
      </c>
      <c r="I19" s="44" t="s">
        <v>37</v>
      </c>
      <c r="J19" s="43" t="s">
        <v>7</v>
      </c>
      <c r="K19" s="47" t="s">
        <v>77</v>
      </c>
      <c r="L19" s="44" t="s">
        <v>37</v>
      </c>
      <c r="M19" s="42"/>
    </row>
    <row r="20" spans="1:13" ht="285.60000000000002">
      <c r="A20" s="41" t="s">
        <v>135</v>
      </c>
      <c r="B20" s="41" t="s">
        <v>142</v>
      </c>
      <c r="C20" s="41" t="s">
        <v>143</v>
      </c>
      <c r="D20" s="42" t="s">
        <v>150</v>
      </c>
      <c r="E20" s="46" t="s">
        <v>155</v>
      </c>
      <c r="F20" s="46"/>
      <c r="G20" s="43" t="s">
        <v>7</v>
      </c>
      <c r="H20" s="47" t="s">
        <v>77</v>
      </c>
      <c r="I20" s="44" t="s">
        <v>37</v>
      </c>
      <c r="J20" s="43" t="s">
        <v>7</v>
      </c>
      <c r="K20" s="47" t="s">
        <v>77</v>
      </c>
      <c r="L20" s="44" t="s">
        <v>37</v>
      </c>
      <c r="M20" s="42"/>
    </row>
    <row r="21" spans="1:13" ht="235.2">
      <c r="A21" s="41" t="s">
        <v>136</v>
      </c>
      <c r="B21" s="41" t="s">
        <v>144</v>
      </c>
      <c r="C21" s="41" t="s">
        <v>145</v>
      </c>
      <c r="D21" s="42" t="s">
        <v>151</v>
      </c>
      <c r="E21" s="46" t="s">
        <v>154</v>
      </c>
      <c r="F21" s="46"/>
      <c r="G21" s="43" t="s">
        <v>7</v>
      </c>
      <c r="H21" s="47" t="s">
        <v>77</v>
      </c>
      <c r="I21" s="44" t="s">
        <v>37</v>
      </c>
      <c r="J21" s="43" t="s">
        <v>7</v>
      </c>
      <c r="K21" s="47" t="s">
        <v>77</v>
      </c>
      <c r="L21" s="44" t="s">
        <v>37</v>
      </c>
      <c r="M21" s="42"/>
    </row>
    <row r="22" spans="1:13" ht="184.8">
      <c r="A22" s="41" t="s">
        <v>137</v>
      </c>
      <c r="B22" s="41" t="s">
        <v>146</v>
      </c>
      <c r="C22" s="41" t="s">
        <v>147</v>
      </c>
      <c r="D22" s="42" t="s">
        <v>152</v>
      </c>
      <c r="E22" s="46" t="s">
        <v>153</v>
      </c>
      <c r="F22" s="46"/>
      <c r="G22" s="43" t="s">
        <v>7</v>
      </c>
      <c r="H22" s="47" t="s">
        <v>77</v>
      </c>
      <c r="I22" s="44" t="s">
        <v>37</v>
      </c>
      <c r="J22" s="43" t="s">
        <v>7</v>
      </c>
      <c r="K22" s="47" t="s">
        <v>77</v>
      </c>
      <c r="L22" s="44" t="s">
        <v>37</v>
      </c>
      <c r="M22" s="42"/>
    </row>
  </sheetData>
  <mergeCells count="14">
    <mergeCell ref="G14:I14"/>
    <mergeCell ref="J14:L14"/>
    <mergeCell ref="M14:M16"/>
    <mergeCell ref="G15:I15"/>
    <mergeCell ref="J15:L15"/>
    <mergeCell ref="A17:M17"/>
    <mergeCell ref="B1:F1"/>
    <mergeCell ref="B2:F2"/>
    <mergeCell ref="A14:A16"/>
    <mergeCell ref="B14:B16"/>
    <mergeCell ref="C14:C16"/>
    <mergeCell ref="D14:D16"/>
    <mergeCell ref="E14:E16"/>
    <mergeCell ref="F14:F16"/>
  </mergeCells>
  <dataValidations count="1">
    <dataValidation type="list" operator="equal" allowBlank="1" showErrorMessage="1" promptTitle="dfdf" sqref="G18:G22 J18:J22">
      <formula1>"Passed,Untested,Failed,Blocked"</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zoomScale="85" zoomScaleNormal="85" workbookViewId="0">
      <selection activeCell="E27" sqref="E27"/>
    </sheetView>
  </sheetViews>
  <sheetFormatPr defaultRowHeight="14.4"/>
  <cols>
    <col min="1" max="1" width="14.88671875" bestFit="1" customWidth="1"/>
    <col min="2" max="2" width="22.6640625" customWidth="1"/>
    <col min="3" max="3" width="26.109375" bestFit="1" customWidth="1"/>
    <col min="4" max="4" width="67.6640625" customWidth="1"/>
    <col min="5" max="5" width="23.6640625" bestFit="1" customWidth="1"/>
    <col min="6" max="6" width="22.6640625" customWidth="1"/>
    <col min="7" max="7" width="10" customWidth="1"/>
    <col min="8" max="8" width="10.33203125" customWidth="1"/>
    <col min="11" max="11" width="10.44140625" customWidth="1"/>
    <col min="13" max="13" width="8.88671875" customWidth="1"/>
  </cols>
  <sheetData>
    <row r="1" spans="1:13" ht="33.6">
      <c r="A1" s="30" t="s">
        <v>15</v>
      </c>
      <c r="B1" s="31" t="s">
        <v>32</v>
      </c>
      <c r="C1" s="31"/>
      <c r="D1" s="31"/>
      <c r="E1" s="31"/>
      <c r="F1" s="31"/>
    </row>
    <row r="2" spans="1:13" ht="33.6">
      <c r="A2" s="30" t="s">
        <v>16</v>
      </c>
      <c r="B2" s="31" t="s">
        <v>157</v>
      </c>
      <c r="C2" s="32"/>
      <c r="D2" s="32"/>
      <c r="E2" s="32"/>
      <c r="F2" s="32"/>
    </row>
    <row r="3" spans="1:13" ht="30" customHeight="1">
      <c r="A3" s="33"/>
      <c r="B3" s="34" t="s">
        <v>17</v>
      </c>
      <c r="C3" s="34" t="s">
        <v>18</v>
      </c>
      <c r="D3" s="34" t="s">
        <v>19</v>
      </c>
      <c r="E3" s="34" t="s">
        <v>47</v>
      </c>
      <c r="F3" s="34" t="s">
        <v>48</v>
      </c>
    </row>
    <row r="4" spans="1:13" ht="21" customHeight="1">
      <c r="A4" s="35" t="s">
        <v>22</v>
      </c>
      <c r="B4" s="36"/>
      <c r="C4" s="36">
        <v>0</v>
      </c>
      <c r="D4" s="33">
        <f>COUNTIF(G6:G8,"Untested")</f>
        <v>0</v>
      </c>
      <c r="E4" s="37">
        <f>COUNTIF(G6:G8,"Blocked")</f>
        <v>0</v>
      </c>
      <c r="F4" s="33"/>
    </row>
    <row r="5" spans="1:13" ht="19.2" customHeight="1">
      <c r="A5" s="35" t="s">
        <v>23</v>
      </c>
      <c r="B5" s="36"/>
      <c r="C5" s="36">
        <v>0</v>
      </c>
      <c r="D5" s="33">
        <f>COUNTIF(J6:J8,"Untested")</f>
        <v>0</v>
      </c>
      <c r="E5" s="37">
        <f>COUNTIF(J6:J8,"Blocked")</f>
        <v>0</v>
      </c>
      <c r="F5" s="33"/>
    </row>
    <row r="14" spans="1:13" ht="16.8" customHeight="1">
      <c r="A14" s="38" t="s">
        <v>0</v>
      </c>
      <c r="B14" s="38" t="s">
        <v>1</v>
      </c>
      <c r="C14" s="38" t="s">
        <v>49</v>
      </c>
      <c r="D14" s="38" t="s">
        <v>2</v>
      </c>
      <c r="E14" s="38" t="s">
        <v>3</v>
      </c>
      <c r="F14" s="38" t="s">
        <v>4</v>
      </c>
      <c r="G14" s="51" t="s">
        <v>25</v>
      </c>
      <c r="H14" s="52"/>
      <c r="I14" s="53"/>
      <c r="J14" s="51" t="s">
        <v>25</v>
      </c>
      <c r="K14" s="52"/>
      <c r="L14" s="53"/>
      <c r="M14" s="48" t="s">
        <v>26</v>
      </c>
    </row>
    <row r="15" spans="1:13" ht="16.8">
      <c r="A15" s="38"/>
      <c r="B15" s="38"/>
      <c r="C15" s="38"/>
      <c r="D15" s="38"/>
      <c r="E15" s="38"/>
      <c r="F15" s="38"/>
      <c r="G15" s="51" t="s">
        <v>27</v>
      </c>
      <c r="H15" s="52"/>
      <c r="I15" s="53"/>
      <c r="J15" s="51" t="s">
        <v>28</v>
      </c>
      <c r="K15" s="52"/>
      <c r="L15" s="53"/>
      <c r="M15" s="49"/>
    </row>
    <row r="16" spans="1:13" ht="50.4">
      <c r="A16" s="38"/>
      <c r="B16" s="38"/>
      <c r="C16" s="38"/>
      <c r="D16" s="38"/>
      <c r="E16" s="38"/>
      <c r="F16" s="38"/>
      <c r="G16" s="39" t="s">
        <v>29</v>
      </c>
      <c r="H16" s="40" t="s">
        <v>30</v>
      </c>
      <c r="I16" s="34" t="s">
        <v>31</v>
      </c>
      <c r="J16" s="39" t="s">
        <v>29</v>
      </c>
      <c r="K16" s="40" t="s">
        <v>30</v>
      </c>
      <c r="L16" s="34" t="s">
        <v>31</v>
      </c>
      <c r="M16" s="50"/>
    </row>
    <row r="17" spans="1:13" ht="16.8">
      <c r="A17" s="54" t="s">
        <v>158</v>
      </c>
      <c r="B17" s="55"/>
      <c r="C17" s="55"/>
      <c r="D17" s="55"/>
      <c r="E17" s="55"/>
      <c r="F17" s="55"/>
      <c r="G17" s="55"/>
      <c r="H17" s="55"/>
      <c r="I17" s="55"/>
      <c r="J17" s="55"/>
      <c r="K17" s="55"/>
      <c r="L17" s="55"/>
      <c r="M17" s="56"/>
    </row>
    <row r="18" spans="1:13" ht="184.8">
      <c r="A18" s="41" t="s">
        <v>159</v>
      </c>
      <c r="B18" s="41" t="s">
        <v>162</v>
      </c>
      <c r="C18" s="41" t="s">
        <v>163</v>
      </c>
      <c r="D18" s="42" t="s">
        <v>168</v>
      </c>
      <c r="E18" s="46" t="s">
        <v>169</v>
      </c>
      <c r="F18" s="46"/>
      <c r="G18" s="43" t="s">
        <v>7</v>
      </c>
      <c r="H18" s="47" t="s">
        <v>77</v>
      </c>
      <c r="I18" s="44" t="s">
        <v>37</v>
      </c>
      <c r="J18" s="43" t="s">
        <v>7</v>
      </c>
      <c r="K18" s="47" t="s">
        <v>77</v>
      </c>
      <c r="L18" s="44" t="s">
        <v>37</v>
      </c>
      <c r="M18" s="42"/>
    </row>
    <row r="19" spans="1:13" ht="184.8">
      <c r="A19" s="41" t="s">
        <v>160</v>
      </c>
      <c r="B19" s="41" t="s">
        <v>164</v>
      </c>
      <c r="C19" s="41" t="s">
        <v>165</v>
      </c>
      <c r="D19" s="42" t="s">
        <v>170</v>
      </c>
      <c r="E19" s="46" t="s">
        <v>171</v>
      </c>
      <c r="F19" s="46"/>
      <c r="G19" s="43" t="s">
        <v>7</v>
      </c>
      <c r="H19" s="47" t="s">
        <v>77</v>
      </c>
      <c r="I19" s="44" t="s">
        <v>37</v>
      </c>
      <c r="J19" s="43" t="s">
        <v>7</v>
      </c>
      <c r="K19" s="47" t="s">
        <v>77</v>
      </c>
      <c r="L19" s="44" t="s">
        <v>37</v>
      </c>
      <c r="M19" s="42"/>
    </row>
    <row r="20" spans="1:13" ht="134.4">
      <c r="A20" s="41" t="s">
        <v>161</v>
      </c>
      <c r="B20" s="41" t="s">
        <v>166</v>
      </c>
      <c r="C20" s="41" t="s">
        <v>167</v>
      </c>
      <c r="D20" s="42" t="s">
        <v>172</v>
      </c>
      <c r="E20" s="46" t="s">
        <v>173</v>
      </c>
      <c r="F20" s="46"/>
      <c r="G20" s="43" t="s">
        <v>7</v>
      </c>
      <c r="H20" s="47" t="s">
        <v>77</v>
      </c>
      <c r="I20" s="44" t="s">
        <v>37</v>
      </c>
      <c r="J20" s="43" t="s">
        <v>7</v>
      </c>
      <c r="K20" s="47" t="s">
        <v>77</v>
      </c>
      <c r="L20" s="44" t="s">
        <v>37</v>
      </c>
      <c r="M20" s="42"/>
    </row>
  </sheetData>
  <mergeCells count="14">
    <mergeCell ref="G14:I14"/>
    <mergeCell ref="J14:L14"/>
    <mergeCell ref="M14:M16"/>
    <mergeCell ref="G15:I15"/>
    <mergeCell ref="J15:L15"/>
    <mergeCell ref="A17:M17"/>
    <mergeCell ref="B1:F1"/>
    <mergeCell ref="B2:F2"/>
    <mergeCell ref="A14:A16"/>
    <mergeCell ref="B14:B16"/>
    <mergeCell ref="C14:C16"/>
    <mergeCell ref="D14:D16"/>
    <mergeCell ref="E14:E16"/>
    <mergeCell ref="F14:F16"/>
  </mergeCells>
  <dataValidations count="1">
    <dataValidation type="list" operator="equal" allowBlank="1" showErrorMessage="1" promptTitle="dfdf" sqref="G18:G20 J18:J20">
      <formula1>"Passed,Untested,Failed,Blocked"</formula1>
      <formula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I8" sqref="I8"/>
    </sheetView>
  </sheetViews>
  <sheetFormatPr defaultRowHeight="14.4"/>
  <cols>
    <col min="1" max="1" width="19.44140625" customWidth="1"/>
    <col min="2" max="2" width="20.5546875" customWidth="1"/>
    <col min="3" max="3" width="14" customWidth="1"/>
    <col min="4" max="5" width="22.88671875" customWidth="1"/>
    <col min="6" max="6" width="16.77734375" customWidth="1"/>
  </cols>
  <sheetData>
    <row r="1" spans="1:6" ht="15" thickBot="1">
      <c r="A1" s="57" t="s">
        <v>174</v>
      </c>
      <c r="B1" s="57" t="s">
        <v>175</v>
      </c>
      <c r="C1" s="57" t="s">
        <v>176</v>
      </c>
      <c r="D1" s="57" t="s">
        <v>177</v>
      </c>
      <c r="E1" s="57" t="s">
        <v>178</v>
      </c>
      <c r="F1" s="58" t="s">
        <v>179</v>
      </c>
    </row>
    <row r="2" spans="1:6" ht="40.200000000000003" thickBot="1">
      <c r="A2" s="60" t="s">
        <v>180</v>
      </c>
      <c r="B2" s="59" t="s">
        <v>181</v>
      </c>
      <c r="C2" s="62" t="s">
        <v>220</v>
      </c>
      <c r="D2" s="59" t="s">
        <v>182</v>
      </c>
      <c r="E2" s="60" t="s">
        <v>183</v>
      </c>
      <c r="F2" s="61" t="b">
        <v>1</v>
      </c>
    </row>
    <row r="3" spans="1:6" ht="40.200000000000003" thickBot="1">
      <c r="A3" s="60" t="s">
        <v>184</v>
      </c>
      <c r="B3" s="59" t="s">
        <v>185</v>
      </c>
      <c r="C3" s="62" t="s">
        <v>221</v>
      </c>
      <c r="D3" s="59" t="s">
        <v>186</v>
      </c>
      <c r="E3" s="60" t="s">
        <v>187</v>
      </c>
      <c r="F3" s="61" t="b">
        <v>0</v>
      </c>
    </row>
    <row r="4" spans="1:6" ht="40.200000000000003" thickBot="1">
      <c r="A4" s="60" t="s">
        <v>188</v>
      </c>
      <c r="B4" s="59" t="s">
        <v>189</v>
      </c>
      <c r="C4" s="62" t="s">
        <v>222</v>
      </c>
      <c r="D4" s="59" t="s">
        <v>190</v>
      </c>
      <c r="E4" s="60" t="s">
        <v>191</v>
      </c>
      <c r="F4" s="61" t="b">
        <v>1</v>
      </c>
    </row>
    <row r="5" spans="1:6" ht="40.200000000000003" thickBot="1">
      <c r="A5" s="60" t="s">
        <v>192</v>
      </c>
      <c r="B5" s="59" t="s">
        <v>193</v>
      </c>
      <c r="C5" s="62" t="s">
        <v>223</v>
      </c>
      <c r="D5" s="59" t="s">
        <v>194</v>
      </c>
      <c r="E5" s="60" t="s">
        <v>195</v>
      </c>
      <c r="F5" s="61" t="b">
        <v>1</v>
      </c>
    </row>
    <row r="6" spans="1:6" ht="40.200000000000003" thickBot="1">
      <c r="A6" s="60" t="s">
        <v>196</v>
      </c>
      <c r="B6" s="59" t="s">
        <v>197</v>
      </c>
      <c r="C6" s="62" t="s">
        <v>224</v>
      </c>
      <c r="D6" s="59" t="s">
        <v>198</v>
      </c>
      <c r="E6" s="60" t="s">
        <v>199</v>
      </c>
      <c r="F6" s="61" t="b">
        <v>1</v>
      </c>
    </row>
    <row r="7" spans="1:6" ht="40.200000000000003" thickBot="1">
      <c r="A7" s="60" t="s">
        <v>200</v>
      </c>
      <c r="B7" s="59" t="s">
        <v>201</v>
      </c>
      <c r="C7" s="62" t="s">
        <v>225</v>
      </c>
      <c r="D7" s="59" t="s">
        <v>202</v>
      </c>
      <c r="E7" s="60" t="s">
        <v>203</v>
      </c>
      <c r="F7" s="61" t="b">
        <v>0</v>
      </c>
    </row>
    <row r="8" spans="1:6" ht="40.200000000000003" thickBot="1">
      <c r="A8" s="60" t="s">
        <v>204</v>
      </c>
      <c r="B8" s="59" t="s">
        <v>205</v>
      </c>
      <c r="C8" s="62" t="s">
        <v>226</v>
      </c>
      <c r="D8" s="59" t="s">
        <v>206</v>
      </c>
      <c r="E8" s="60" t="s">
        <v>207</v>
      </c>
      <c r="F8" s="61" t="b">
        <v>1</v>
      </c>
    </row>
    <row r="9" spans="1:6" ht="40.200000000000003" thickBot="1">
      <c r="A9" s="60" t="s">
        <v>208</v>
      </c>
      <c r="B9" s="59" t="s">
        <v>209</v>
      </c>
      <c r="C9" s="62" t="s">
        <v>227</v>
      </c>
      <c r="D9" s="59" t="s">
        <v>210</v>
      </c>
      <c r="E9" s="60" t="s">
        <v>211</v>
      </c>
      <c r="F9" s="61" t="b">
        <v>1</v>
      </c>
    </row>
    <row r="10" spans="1:6" ht="40.200000000000003" thickBot="1">
      <c r="A10" s="60" t="s">
        <v>212</v>
      </c>
      <c r="B10" s="59" t="s">
        <v>213</v>
      </c>
      <c r="C10" s="62" t="s">
        <v>228</v>
      </c>
      <c r="D10" s="59" t="s">
        <v>214</v>
      </c>
      <c r="E10" s="60" t="s">
        <v>215</v>
      </c>
      <c r="F10" s="61" t="b">
        <v>0</v>
      </c>
    </row>
    <row r="11" spans="1:6" ht="40.200000000000003" thickBot="1">
      <c r="A11" s="60" t="s">
        <v>216</v>
      </c>
      <c r="B11" s="59" t="s">
        <v>217</v>
      </c>
      <c r="C11" s="62" t="s">
        <v>229</v>
      </c>
      <c r="D11" s="59" t="s">
        <v>218</v>
      </c>
      <c r="E11" s="60" t="s">
        <v>219</v>
      </c>
      <c r="F11" s="61" t="b">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tabSelected="1" workbookViewId="0">
      <selection activeCell="L25" sqref="L25"/>
    </sheetView>
  </sheetViews>
  <sheetFormatPr defaultRowHeight="14.4"/>
  <sheetData>
    <row r="1" spans="1:1">
      <c r="A1" t="s">
        <v>230</v>
      </c>
    </row>
    <row r="2" spans="1:1">
      <c r="A2" t="s">
        <v>231</v>
      </c>
    </row>
    <row r="3" spans="1:1">
      <c r="A3" t="s">
        <v>232</v>
      </c>
    </row>
    <row r="4" spans="1:1">
      <c r="A4" t="s">
        <v>233</v>
      </c>
    </row>
    <row r="5" spans="1:1">
      <c r="A5" t="s">
        <v>234</v>
      </c>
    </row>
    <row r="6" spans="1:1">
      <c r="A6" t="s">
        <v>235</v>
      </c>
    </row>
    <row r="7" spans="1:1">
      <c r="A7" t="s">
        <v>236</v>
      </c>
    </row>
    <row r="8" spans="1:1">
      <c r="A8" t="s">
        <v>237</v>
      </c>
    </row>
    <row r="9" spans="1:1">
      <c r="A9" t="s">
        <v>238</v>
      </c>
    </row>
    <row r="10" spans="1:1">
      <c r="A10" t="s">
        <v>239</v>
      </c>
    </row>
    <row r="11" spans="1:1">
      <c r="A11" t="s">
        <v>240</v>
      </c>
    </row>
    <row r="12" spans="1:1">
      <c r="A12" t="s">
        <v>241</v>
      </c>
    </row>
    <row r="13" spans="1:1">
      <c r="A13" t="s">
        <v>242</v>
      </c>
    </row>
    <row r="14" spans="1:1">
      <c r="A14" t="s">
        <v>243</v>
      </c>
    </row>
    <row r="15" spans="1:1">
      <c r="A15" t="s">
        <v>244</v>
      </c>
    </row>
    <row r="16" spans="1:1">
      <c r="A16" t="s">
        <v>245</v>
      </c>
    </row>
    <row r="17" spans="1:1">
      <c r="A17" t="s">
        <v>246</v>
      </c>
    </row>
    <row r="18" spans="1:1">
      <c r="A18" t="s">
        <v>247</v>
      </c>
    </row>
    <row r="19" spans="1:1">
      <c r="A19" t="s">
        <v>248</v>
      </c>
    </row>
    <row r="20" spans="1:1">
      <c r="A20" t="s">
        <v>249</v>
      </c>
    </row>
    <row r="21" spans="1:1">
      <c r="A21" t="s">
        <v>250</v>
      </c>
    </row>
    <row r="22" spans="1:1">
      <c r="A22"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Mint Campaign</vt:lpstr>
      <vt:lpstr>Test Record Donation</vt:lpstr>
      <vt:lpstr>Test Socket</vt:lpstr>
      <vt:lpstr>Đối soát On-chain</vt:lpstr>
      <vt:lpstr>tấn công thử nghiệm</vt:lpstr>
      <vt:lpstr> Load Test</vt:lpstr>
      <vt:lpstr>10 bộ hồ sơ thụ hưởng giả</vt:lpstr>
      <vt:lpstr>20 bản ghi JSON Webhook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Loi Bui Vinh</dc:creator>
  <cp:lastModifiedBy>Loi Bui Vinh</cp:lastModifiedBy>
  <dcterms:created xsi:type="dcterms:W3CDTF">2026-04-10T04:55:48Z</dcterms:created>
  <dcterms:modified xsi:type="dcterms:W3CDTF">2026-04-15T15:02:56Z</dcterms:modified>
</cp:coreProperties>
</file>